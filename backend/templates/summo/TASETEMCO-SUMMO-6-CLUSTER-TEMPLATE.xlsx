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dodi\TabonCoop\Reports from System\"/>
    </mc:Choice>
  </mc:AlternateContent>
  <xr:revisionPtr revIDLastSave="0" documentId="13_ncr:1_{A5C3935E-EFC4-452E-9712-ECA6F53E7F58}" xr6:coauthVersionLast="47" xr6:coauthVersionMax="47" xr10:uidLastSave="{00000000-0000-0000-0000-000000000000}"/>
  <bookViews>
    <workbookView xWindow="-108" yWindow="-108" windowWidth="23256" windowHeight="12456" activeTab="3" xr2:uid="{260FB6DC-323F-4038-8F4A-9811C6EE16D0}"/>
  </bookViews>
  <sheets>
    <sheet name="REG_MEM_CAP" sheetId="1" r:id="rId1"/>
    <sheet name="REG_MEM_NONCAP" sheetId="2" r:id="rId2"/>
    <sheet name="RET" sheetId="3" r:id="rId3"/>
    <sheet name="REG_MEM_LGU" sheetId="5" r:id="rId4"/>
    <sheet name="COM_A" sheetId="6" r:id="rId5"/>
    <sheet name="COM_B" sheetId="8" r:id="rId6"/>
  </sheets>
  <definedNames>
    <definedName name="_xlnm._FilterDatabase" localSheetId="4" hidden="1">COM_A!$AE$1:$AE$1440</definedName>
    <definedName name="_xlnm._FilterDatabase" localSheetId="5" hidden="1">COM_B!$AE$1:$AE$1440</definedName>
    <definedName name="_xlnm._FilterDatabase" localSheetId="0" hidden="1">REG_MEM_CAP!$AE$1:$AE$1105</definedName>
    <definedName name="_xlnm._FilterDatabase" localSheetId="3" hidden="1">REG_MEM_LGU!$AE$1:$AE$1440</definedName>
    <definedName name="_xlnm._FilterDatabase" localSheetId="1" hidden="1">REG_MEM_NONCAP!$AE$1:$AE$1440</definedName>
    <definedName name="_xlnm._FilterDatabase" localSheetId="2" hidden="1">RET!$AE$1:$AE$1440</definedName>
    <definedName name="_xlnm.Print_Area" localSheetId="4">COM_A!$A$4:$BI$388</definedName>
    <definedName name="_xlnm.Print_Area" localSheetId="5">COM_B!$A$4:$BI$388</definedName>
    <definedName name="_xlnm.Print_Area" localSheetId="0">REG_MEM_CAP!$A$4:$BG$74</definedName>
    <definedName name="_xlnm.Print_Area" localSheetId="3">REG_MEM_LGU!$A$4:$BI$388</definedName>
    <definedName name="_xlnm.Print_Area" localSheetId="1">REG_MEM_NONCAP!$A$4:$BI$388</definedName>
    <definedName name="_xlnm.Print_Area" localSheetId="2">RET!$A$4:$BI$388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J74" i="8" l="1"/>
  <c r="AI74" i="8"/>
  <c r="AH74" i="8"/>
  <c r="AG74" i="8"/>
  <c r="AE74" i="8"/>
  <c r="AD74" i="8"/>
  <c r="AA74" i="8"/>
  <c r="X74" i="8"/>
  <c r="V74" i="8"/>
  <c r="U74" i="8"/>
  <c r="T74" i="8"/>
  <c r="S74" i="8"/>
  <c r="P74" i="8"/>
  <c r="O74" i="8"/>
  <c r="N74" i="8"/>
  <c r="M74" i="8"/>
  <c r="L74" i="8"/>
  <c r="K74" i="8"/>
  <c r="J74" i="8"/>
  <c r="I74" i="8"/>
  <c r="G74" i="8"/>
  <c r="AB73" i="8"/>
  <c r="AC73" i="8" s="1"/>
  <c r="Y73" i="8"/>
  <c r="Z73" i="8" s="1"/>
  <c r="Q73" i="8"/>
  <c r="R73" i="8" s="1"/>
  <c r="W73" i="8" s="1"/>
  <c r="AC72" i="8"/>
  <c r="AB72" i="8"/>
  <c r="Z72" i="8"/>
  <c r="Y72" i="8"/>
  <c r="Q72" i="8"/>
  <c r="R72" i="8" s="1"/>
  <c r="W72" i="8" s="1"/>
  <c r="AF72" i="8" s="1"/>
  <c r="AK72" i="8" s="1"/>
  <c r="AB71" i="8"/>
  <c r="AC71" i="8" s="1"/>
  <c r="Y71" i="8"/>
  <c r="Z71" i="8" s="1"/>
  <c r="R71" i="8"/>
  <c r="W71" i="8" s="1"/>
  <c r="AF71" i="8" s="1"/>
  <c r="AK71" i="8" s="1"/>
  <c r="Q71" i="8"/>
  <c r="AC70" i="8"/>
  <c r="AB70" i="8"/>
  <c r="Y70" i="8"/>
  <c r="Z70" i="8" s="1"/>
  <c r="Q70" i="8"/>
  <c r="R70" i="8" s="1"/>
  <c r="W70" i="8" s="1"/>
  <c r="AF70" i="8" s="1"/>
  <c r="AK70" i="8" s="1"/>
  <c r="AB69" i="8"/>
  <c r="AC69" i="8" s="1"/>
  <c r="Y69" i="8"/>
  <c r="Z69" i="8" s="1"/>
  <c r="Q69" i="8"/>
  <c r="R69" i="8" s="1"/>
  <c r="W69" i="8" s="1"/>
  <c r="AC68" i="8"/>
  <c r="AB68" i="8"/>
  <c r="Z68" i="8"/>
  <c r="Y68" i="8"/>
  <c r="Q68" i="8"/>
  <c r="R68" i="8" s="1"/>
  <c r="W68" i="8" s="1"/>
  <c r="AF68" i="8" s="1"/>
  <c r="AK68" i="8" s="1"/>
  <c r="AB67" i="8"/>
  <c r="AC67" i="8" s="1"/>
  <c r="Y67" i="8"/>
  <c r="Z67" i="8" s="1"/>
  <c r="R67" i="8"/>
  <c r="W67" i="8" s="1"/>
  <c r="Q67" i="8"/>
  <c r="AC66" i="8"/>
  <c r="AB66" i="8"/>
  <c r="Y66" i="8"/>
  <c r="Z66" i="8" s="1"/>
  <c r="AF66" i="8" s="1"/>
  <c r="AK66" i="8" s="1"/>
  <c r="Q66" i="8"/>
  <c r="R66" i="8" s="1"/>
  <c r="W66" i="8" s="1"/>
  <c r="AB65" i="8"/>
  <c r="AC65" i="8" s="1"/>
  <c r="Y65" i="8"/>
  <c r="Z65" i="8" s="1"/>
  <c r="Q65" i="8"/>
  <c r="R65" i="8" s="1"/>
  <c r="W65" i="8" s="1"/>
  <c r="AC64" i="8"/>
  <c r="AB64" i="8"/>
  <c r="Z64" i="8"/>
  <c r="Y64" i="8"/>
  <c r="Q64" i="8"/>
  <c r="R64" i="8" s="1"/>
  <c r="W64" i="8" s="1"/>
  <c r="AF64" i="8" s="1"/>
  <c r="AK64" i="8" s="1"/>
  <c r="AB63" i="8"/>
  <c r="AC63" i="8" s="1"/>
  <c r="Y63" i="8"/>
  <c r="Z63" i="8" s="1"/>
  <c r="R63" i="8"/>
  <c r="W63" i="8" s="1"/>
  <c r="Q63" i="8"/>
  <c r="AC62" i="8"/>
  <c r="AF62" i="8" s="1"/>
  <c r="AK62" i="8" s="1"/>
  <c r="AB62" i="8"/>
  <c r="Y62" i="8"/>
  <c r="Z62" i="8" s="1"/>
  <c r="Q62" i="8"/>
  <c r="R62" i="8" s="1"/>
  <c r="W62" i="8" s="1"/>
  <c r="AB61" i="8"/>
  <c r="AC61" i="8" s="1"/>
  <c r="Y61" i="8"/>
  <c r="Z61" i="8" s="1"/>
  <c r="Q61" i="8"/>
  <c r="R61" i="8" s="1"/>
  <c r="W61" i="8" s="1"/>
  <c r="AC60" i="8"/>
  <c r="AB60" i="8"/>
  <c r="Z60" i="8"/>
  <c r="Y60" i="8"/>
  <c r="Q60" i="8"/>
  <c r="R60" i="8" s="1"/>
  <c r="W60" i="8" s="1"/>
  <c r="AF60" i="8" s="1"/>
  <c r="AK60" i="8" s="1"/>
  <c r="AB59" i="8"/>
  <c r="AC59" i="8" s="1"/>
  <c r="Y59" i="8"/>
  <c r="Z59" i="8" s="1"/>
  <c r="R59" i="8"/>
  <c r="W59" i="8" s="1"/>
  <c r="AF59" i="8" s="1"/>
  <c r="AK59" i="8" s="1"/>
  <c r="Q59" i="8"/>
  <c r="AC58" i="8"/>
  <c r="AF58" i="8" s="1"/>
  <c r="AK58" i="8" s="1"/>
  <c r="AB58" i="8"/>
  <c r="Y58" i="8"/>
  <c r="Z58" i="8" s="1"/>
  <c r="Q58" i="8"/>
  <c r="R58" i="8" s="1"/>
  <c r="W58" i="8" s="1"/>
  <c r="AB57" i="8"/>
  <c r="AC57" i="8" s="1"/>
  <c r="Y57" i="8"/>
  <c r="Z57" i="8" s="1"/>
  <c r="Q57" i="8"/>
  <c r="R57" i="8" s="1"/>
  <c r="W57" i="8" s="1"/>
  <c r="AC56" i="8"/>
  <c r="AB56" i="8"/>
  <c r="Z56" i="8"/>
  <c r="Y56" i="8"/>
  <c r="R56" i="8"/>
  <c r="W56" i="8" s="1"/>
  <c r="AF56" i="8" s="1"/>
  <c r="AK56" i="8" s="1"/>
  <c r="Q56" i="8"/>
  <c r="AB55" i="8"/>
  <c r="AC55" i="8" s="1"/>
  <c r="Y55" i="8"/>
  <c r="Z55" i="8" s="1"/>
  <c r="R55" i="8"/>
  <c r="W55" i="8" s="1"/>
  <c r="AF55" i="8" s="1"/>
  <c r="AK55" i="8" s="1"/>
  <c r="Q55" i="8"/>
  <c r="AF54" i="8"/>
  <c r="AK54" i="8" s="1"/>
  <c r="AC54" i="8"/>
  <c r="AB54" i="8"/>
  <c r="Y54" i="8"/>
  <c r="Z54" i="8" s="1"/>
  <c r="Q54" i="8"/>
  <c r="R54" i="8" s="1"/>
  <c r="W54" i="8" s="1"/>
  <c r="AB53" i="8"/>
  <c r="AC53" i="8" s="1"/>
  <c r="Z53" i="8"/>
  <c r="Y53" i="8"/>
  <c r="Q53" i="8"/>
  <c r="R53" i="8" s="1"/>
  <c r="W53" i="8" s="1"/>
  <c r="AC52" i="8"/>
  <c r="AB52" i="8"/>
  <c r="Z52" i="8"/>
  <c r="Y52" i="8"/>
  <c r="Q52" i="8"/>
  <c r="R52" i="8" s="1"/>
  <c r="W52" i="8" s="1"/>
  <c r="AF52" i="8" s="1"/>
  <c r="AK52" i="8" s="1"/>
  <c r="AB51" i="8"/>
  <c r="AC51" i="8" s="1"/>
  <c r="Y51" i="8"/>
  <c r="Z51" i="8" s="1"/>
  <c r="R51" i="8"/>
  <c r="W51" i="8" s="1"/>
  <c r="AF51" i="8" s="1"/>
  <c r="AK51" i="8" s="1"/>
  <c r="Q51" i="8"/>
  <c r="AC50" i="8"/>
  <c r="AB50" i="8"/>
  <c r="Y50" i="8"/>
  <c r="Z50" i="8" s="1"/>
  <c r="Q50" i="8"/>
  <c r="R50" i="8" s="1"/>
  <c r="W50" i="8" s="1"/>
  <c r="AF50" i="8" s="1"/>
  <c r="AK50" i="8" s="1"/>
  <c r="AB49" i="8"/>
  <c r="AC49" i="8" s="1"/>
  <c r="Z49" i="8"/>
  <c r="Y49" i="8"/>
  <c r="Q49" i="8"/>
  <c r="R49" i="8" s="1"/>
  <c r="W49" i="8" s="1"/>
  <c r="AC48" i="8"/>
  <c r="AB48" i="8"/>
  <c r="Z48" i="8"/>
  <c r="Y48" i="8"/>
  <c r="R48" i="8"/>
  <c r="W48" i="8" s="1"/>
  <c r="Q48" i="8"/>
  <c r="AB47" i="8"/>
  <c r="AC47" i="8" s="1"/>
  <c r="Y47" i="8"/>
  <c r="Z47" i="8" s="1"/>
  <c r="R47" i="8"/>
  <c r="W47" i="8" s="1"/>
  <c r="AF47" i="8" s="1"/>
  <c r="AK47" i="8" s="1"/>
  <c r="Q47" i="8"/>
  <c r="AC46" i="8"/>
  <c r="AB46" i="8"/>
  <c r="Y46" i="8"/>
  <c r="Z46" i="8" s="1"/>
  <c r="Q46" i="8"/>
  <c r="R46" i="8" s="1"/>
  <c r="W46" i="8" s="1"/>
  <c r="AF46" i="8" s="1"/>
  <c r="AK46" i="8" s="1"/>
  <c r="AB45" i="8"/>
  <c r="AC45" i="8" s="1"/>
  <c r="Z45" i="8"/>
  <c r="Y45" i="8"/>
  <c r="Q45" i="8"/>
  <c r="R45" i="8" s="1"/>
  <c r="W45" i="8" s="1"/>
  <c r="AF45" i="8" s="1"/>
  <c r="AK45" i="8" s="1"/>
  <c r="AC44" i="8"/>
  <c r="AB44" i="8"/>
  <c r="Z44" i="8"/>
  <c r="Y44" i="8"/>
  <c r="Q44" i="8"/>
  <c r="R44" i="8" s="1"/>
  <c r="W44" i="8" s="1"/>
  <c r="AF44" i="8" s="1"/>
  <c r="AK44" i="8" s="1"/>
  <c r="AB43" i="8"/>
  <c r="AC43" i="8" s="1"/>
  <c r="Y43" i="8"/>
  <c r="Z43" i="8" s="1"/>
  <c r="R43" i="8"/>
  <c r="W43" i="8" s="1"/>
  <c r="Q43" i="8"/>
  <c r="AC42" i="8"/>
  <c r="AB42" i="8"/>
  <c r="Y42" i="8"/>
  <c r="Z42" i="8" s="1"/>
  <c r="Q42" i="8"/>
  <c r="R42" i="8" s="1"/>
  <c r="W42" i="8" s="1"/>
  <c r="AF42" i="8" s="1"/>
  <c r="AK42" i="8" s="1"/>
  <c r="AB41" i="8"/>
  <c r="AC41" i="8" s="1"/>
  <c r="Y41" i="8"/>
  <c r="Z41" i="8" s="1"/>
  <c r="Q41" i="8"/>
  <c r="R41" i="8" s="1"/>
  <c r="W41" i="8" s="1"/>
  <c r="AC40" i="8"/>
  <c r="AB40" i="8"/>
  <c r="Z40" i="8"/>
  <c r="Y40" i="8"/>
  <c r="Q40" i="8"/>
  <c r="R40" i="8" s="1"/>
  <c r="W40" i="8" s="1"/>
  <c r="AF40" i="8" s="1"/>
  <c r="AK40" i="8" s="1"/>
  <c r="AB39" i="8"/>
  <c r="AC39" i="8" s="1"/>
  <c r="Y39" i="8"/>
  <c r="Z39" i="8" s="1"/>
  <c r="R39" i="8"/>
  <c r="W39" i="8" s="1"/>
  <c r="Q39" i="8"/>
  <c r="AC38" i="8"/>
  <c r="AF38" i="8" s="1"/>
  <c r="AK38" i="8" s="1"/>
  <c r="AB38" i="8"/>
  <c r="Y38" i="8"/>
  <c r="Z38" i="8" s="1"/>
  <c r="Q38" i="8"/>
  <c r="R38" i="8" s="1"/>
  <c r="W38" i="8" s="1"/>
  <c r="AB37" i="8"/>
  <c r="AC37" i="8" s="1"/>
  <c r="Y37" i="8"/>
  <c r="Z37" i="8" s="1"/>
  <c r="Q37" i="8"/>
  <c r="R37" i="8" s="1"/>
  <c r="W37" i="8" s="1"/>
  <c r="AC36" i="8"/>
  <c r="AB36" i="8"/>
  <c r="Z36" i="8"/>
  <c r="Y36" i="8"/>
  <c r="Q36" i="8"/>
  <c r="R36" i="8" s="1"/>
  <c r="W36" i="8" s="1"/>
  <c r="AF36" i="8" s="1"/>
  <c r="AK36" i="8" s="1"/>
  <c r="AB35" i="8"/>
  <c r="AC35" i="8" s="1"/>
  <c r="Y35" i="8"/>
  <c r="Z35" i="8" s="1"/>
  <c r="R35" i="8"/>
  <c r="W35" i="8" s="1"/>
  <c r="Q35" i="8"/>
  <c r="AC34" i="8"/>
  <c r="AF34" i="8" s="1"/>
  <c r="AK34" i="8" s="1"/>
  <c r="AB34" i="8"/>
  <c r="Y34" i="8"/>
  <c r="Z34" i="8" s="1"/>
  <c r="Q34" i="8"/>
  <c r="R34" i="8" s="1"/>
  <c r="W34" i="8" s="1"/>
  <c r="AB33" i="8"/>
  <c r="AC33" i="8" s="1"/>
  <c r="Y33" i="8"/>
  <c r="Z33" i="8" s="1"/>
  <c r="Q33" i="8"/>
  <c r="R33" i="8" s="1"/>
  <c r="W33" i="8" s="1"/>
  <c r="AC32" i="8"/>
  <c r="AB32" i="8"/>
  <c r="Z32" i="8"/>
  <c r="Y32" i="8"/>
  <c r="R32" i="8"/>
  <c r="W32" i="8" s="1"/>
  <c r="AF32" i="8" s="1"/>
  <c r="AK32" i="8" s="1"/>
  <c r="Q32" i="8"/>
  <c r="AB31" i="8"/>
  <c r="AC31" i="8" s="1"/>
  <c r="Y31" i="8"/>
  <c r="Z31" i="8" s="1"/>
  <c r="R31" i="8"/>
  <c r="W31" i="8" s="1"/>
  <c r="AF31" i="8" s="1"/>
  <c r="AK31" i="8" s="1"/>
  <c r="Q31" i="8"/>
  <c r="AF30" i="8"/>
  <c r="AK30" i="8" s="1"/>
  <c r="AC30" i="8"/>
  <c r="AB30" i="8"/>
  <c r="Y30" i="8"/>
  <c r="Z30" i="8" s="1"/>
  <c r="Q30" i="8"/>
  <c r="R30" i="8" s="1"/>
  <c r="W30" i="8" s="1"/>
  <c r="AB29" i="8"/>
  <c r="AC29" i="8" s="1"/>
  <c r="Z29" i="8"/>
  <c r="Y29" i="8"/>
  <c r="Q29" i="8"/>
  <c r="R29" i="8" s="1"/>
  <c r="W29" i="8" s="1"/>
  <c r="AC28" i="8"/>
  <c r="AB28" i="8"/>
  <c r="Z28" i="8"/>
  <c r="Y28" i="8"/>
  <c r="Q28" i="8"/>
  <c r="R28" i="8" s="1"/>
  <c r="W28" i="8" s="1"/>
  <c r="AF28" i="8" s="1"/>
  <c r="AK28" i="8" s="1"/>
  <c r="AB27" i="8"/>
  <c r="AC27" i="8" s="1"/>
  <c r="Y27" i="8"/>
  <c r="Z27" i="8" s="1"/>
  <c r="R27" i="8"/>
  <c r="W27" i="8" s="1"/>
  <c r="AF27" i="8" s="1"/>
  <c r="AK27" i="8" s="1"/>
  <c r="Q27" i="8"/>
  <c r="AC26" i="8"/>
  <c r="AB26" i="8"/>
  <c r="Y26" i="8"/>
  <c r="Z26" i="8" s="1"/>
  <c r="Q26" i="8"/>
  <c r="R26" i="8" s="1"/>
  <c r="W26" i="8" s="1"/>
  <c r="AF26" i="8" s="1"/>
  <c r="AK26" i="8" s="1"/>
  <c r="AB25" i="8"/>
  <c r="AC25" i="8" s="1"/>
  <c r="Y25" i="8"/>
  <c r="Z25" i="8" s="1"/>
  <c r="Q25" i="8"/>
  <c r="R25" i="8" s="1"/>
  <c r="W25" i="8" s="1"/>
  <c r="AC24" i="8"/>
  <c r="AB24" i="8"/>
  <c r="Z24" i="8"/>
  <c r="Y24" i="8"/>
  <c r="Q24" i="8"/>
  <c r="R24" i="8" s="1"/>
  <c r="W24" i="8" s="1"/>
  <c r="AF24" i="8" s="1"/>
  <c r="AK24" i="8" s="1"/>
  <c r="AB23" i="8"/>
  <c r="AC23" i="8" s="1"/>
  <c r="Y23" i="8"/>
  <c r="Z23" i="8" s="1"/>
  <c r="R23" i="8"/>
  <c r="W23" i="8" s="1"/>
  <c r="AF23" i="8" s="1"/>
  <c r="AK23" i="8" s="1"/>
  <c r="Q23" i="8"/>
  <c r="AC22" i="8"/>
  <c r="AB22" i="8"/>
  <c r="Y22" i="8"/>
  <c r="Z22" i="8" s="1"/>
  <c r="R22" i="8"/>
  <c r="W22" i="8" s="1"/>
  <c r="AF22" i="8" s="1"/>
  <c r="AK22" i="8" s="1"/>
  <c r="Q22" i="8"/>
  <c r="AB21" i="8"/>
  <c r="AC21" i="8" s="1"/>
  <c r="Y21" i="8"/>
  <c r="Z21" i="8" s="1"/>
  <c r="Q21" i="8"/>
  <c r="R21" i="8" s="1"/>
  <c r="W21" i="8" s="1"/>
  <c r="AC20" i="8"/>
  <c r="AB20" i="8"/>
  <c r="Z20" i="8"/>
  <c r="Y20" i="8"/>
  <c r="Q20" i="8"/>
  <c r="R20" i="8" s="1"/>
  <c r="W20" i="8" s="1"/>
  <c r="AF20" i="8" s="1"/>
  <c r="AK20" i="8" s="1"/>
  <c r="AB19" i="8"/>
  <c r="AC19" i="8" s="1"/>
  <c r="Y19" i="8"/>
  <c r="Z19" i="8" s="1"/>
  <c r="R19" i="8"/>
  <c r="W19" i="8" s="1"/>
  <c r="Q19" i="8"/>
  <c r="AC18" i="8"/>
  <c r="AB18" i="8"/>
  <c r="Y18" i="8"/>
  <c r="Z18" i="8" s="1"/>
  <c r="Q18" i="8"/>
  <c r="R18" i="8" s="1"/>
  <c r="W18" i="8" s="1"/>
  <c r="AF18" i="8" s="1"/>
  <c r="AK18" i="8" s="1"/>
  <c r="AB17" i="8"/>
  <c r="AC17" i="8" s="1"/>
  <c r="Y17" i="8"/>
  <c r="Z17" i="8" s="1"/>
  <c r="Q17" i="8"/>
  <c r="R17" i="8" s="1"/>
  <c r="W17" i="8" s="1"/>
  <c r="AC16" i="8"/>
  <c r="AB16" i="8"/>
  <c r="Z16" i="8"/>
  <c r="Y16" i="8"/>
  <c r="Q16" i="8"/>
  <c r="R16" i="8" s="1"/>
  <c r="W16" i="8" s="1"/>
  <c r="AF16" i="8" s="1"/>
  <c r="AK16" i="8" s="1"/>
  <c r="AB15" i="8"/>
  <c r="AC15" i="8" s="1"/>
  <c r="Z15" i="8"/>
  <c r="Y15" i="8"/>
  <c r="R15" i="8"/>
  <c r="W15" i="8" s="1"/>
  <c r="Q15" i="8"/>
  <c r="AC14" i="8"/>
  <c r="AF14" i="8" s="1"/>
  <c r="AK14" i="8" s="1"/>
  <c r="AB14" i="8"/>
  <c r="Y14" i="8"/>
  <c r="Z14" i="8" s="1"/>
  <c r="R14" i="8"/>
  <c r="W14" i="8" s="1"/>
  <c r="Q14" i="8"/>
  <c r="AB13" i="8"/>
  <c r="AC13" i="8" s="1"/>
  <c r="Y13" i="8"/>
  <c r="Z13" i="8" s="1"/>
  <c r="Q13" i="8"/>
  <c r="R13" i="8" s="1"/>
  <c r="W13" i="8" s="1"/>
  <c r="AC12" i="8"/>
  <c r="AB12" i="8"/>
  <c r="Z12" i="8"/>
  <c r="Y12" i="8"/>
  <c r="Q12" i="8"/>
  <c r="R12" i="8" s="1"/>
  <c r="W12" i="8" s="1"/>
  <c r="AF12" i="8" s="1"/>
  <c r="AK12" i="8" s="1"/>
  <c r="AB11" i="8"/>
  <c r="AC11" i="8" s="1"/>
  <c r="Y11" i="8"/>
  <c r="Z11" i="8" s="1"/>
  <c r="R11" i="8"/>
  <c r="W11" i="8" s="1"/>
  <c r="Q11" i="8"/>
  <c r="AC10" i="8"/>
  <c r="AB10" i="8"/>
  <c r="Y10" i="8"/>
  <c r="Z10" i="8" s="1"/>
  <c r="R10" i="8"/>
  <c r="W10" i="8" s="1"/>
  <c r="AF10" i="8" s="1"/>
  <c r="AK10" i="8" s="1"/>
  <c r="Q10" i="8"/>
  <c r="AB9" i="8"/>
  <c r="AC9" i="8" s="1"/>
  <c r="Y9" i="8"/>
  <c r="Z9" i="8" s="1"/>
  <c r="Q9" i="8"/>
  <c r="R9" i="8" s="1"/>
  <c r="W9" i="8" s="1"/>
  <c r="AC8" i="8"/>
  <c r="AB8" i="8"/>
  <c r="Z8" i="8"/>
  <c r="Y8" i="8"/>
  <c r="Q8" i="8"/>
  <c r="R8" i="8" s="1"/>
  <c r="W8" i="8" s="1"/>
  <c r="AF8" i="8" s="1"/>
  <c r="AK8" i="8" s="1"/>
  <c r="AB7" i="8"/>
  <c r="AC7" i="8" s="1"/>
  <c r="Z7" i="8"/>
  <c r="Y7" i="8"/>
  <c r="R7" i="8"/>
  <c r="W7" i="8" s="1"/>
  <c r="Q7" i="8"/>
  <c r="AJ74" i="6"/>
  <c r="AI74" i="6"/>
  <c r="AH74" i="6"/>
  <c r="AG74" i="6"/>
  <c r="AE74" i="6"/>
  <c r="AD74" i="6"/>
  <c r="AA74" i="6"/>
  <c r="X74" i="6"/>
  <c r="V74" i="6"/>
  <c r="U74" i="6"/>
  <c r="T74" i="6"/>
  <c r="S74" i="6"/>
  <c r="P74" i="6"/>
  <c r="O74" i="6"/>
  <c r="N74" i="6"/>
  <c r="M74" i="6"/>
  <c r="L74" i="6"/>
  <c r="K74" i="6"/>
  <c r="J74" i="6"/>
  <c r="I74" i="6"/>
  <c r="G74" i="6"/>
  <c r="AB73" i="6"/>
  <c r="AC73" i="6" s="1"/>
  <c r="Y73" i="6"/>
  <c r="Z73" i="6" s="1"/>
  <c r="Q73" i="6"/>
  <c r="R73" i="6" s="1"/>
  <c r="W73" i="6" s="1"/>
  <c r="AF73" i="6" s="1"/>
  <c r="AK73" i="6" s="1"/>
  <c r="AB72" i="6"/>
  <c r="AC72" i="6" s="1"/>
  <c r="Y72" i="6"/>
  <c r="Z72" i="6" s="1"/>
  <c r="Q72" i="6"/>
  <c r="R72" i="6" s="1"/>
  <c r="W72" i="6" s="1"/>
  <c r="AF72" i="6" s="1"/>
  <c r="AK72" i="6" s="1"/>
  <c r="AC71" i="6"/>
  <c r="AB71" i="6"/>
  <c r="Y71" i="6"/>
  <c r="Z71" i="6" s="1"/>
  <c r="Q71" i="6"/>
  <c r="R71" i="6" s="1"/>
  <c r="W71" i="6" s="1"/>
  <c r="AF71" i="6" s="1"/>
  <c r="AK71" i="6" s="1"/>
  <c r="AC70" i="6"/>
  <c r="AF70" i="6" s="1"/>
  <c r="AK70" i="6" s="1"/>
  <c r="AB70" i="6"/>
  <c r="Y70" i="6"/>
  <c r="Z70" i="6" s="1"/>
  <c r="Q70" i="6"/>
  <c r="R70" i="6" s="1"/>
  <c r="W70" i="6" s="1"/>
  <c r="AC69" i="6"/>
  <c r="AB69" i="6"/>
  <c r="Y69" i="6"/>
  <c r="Z69" i="6" s="1"/>
  <c r="Q69" i="6"/>
  <c r="R69" i="6" s="1"/>
  <c r="W69" i="6" s="1"/>
  <c r="AF69" i="6" s="1"/>
  <c r="AK69" i="6" s="1"/>
  <c r="AB68" i="6"/>
  <c r="AC68" i="6" s="1"/>
  <c r="Y68" i="6"/>
  <c r="Z68" i="6" s="1"/>
  <c r="Q68" i="6"/>
  <c r="R68" i="6" s="1"/>
  <c r="W68" i="6" s="1"/>
  <c r="AF68" i="6" s="1"/>
  <c r="AK68" i="6" s="1"/>
  <c r="AC67" i="6"/>
  <c r="AB67" i="6"/>
  <c r="Y67" i="6"/>
  <c r="Z67" i="6" s="1"/>
  <c r="Q67" i="6"/>
  <c r="R67" i="6" s="1"/>
  <c r="W67" i="6" s="1"/>
  <c r="AF67" i="6" s="1"/>
  <c r="AK67" i="6" s="1"/>
  <c r="AC66" i="6"/>
  <c r="AB66" i="6"/>
  <c r="Y66" i="6"/>
  <c r="Z66" i="6" s="1"/>
  <c r="Q66" i="6"/>
  <c r="R66" i="6" s="1"/>
  <c r="W66" i="6" s="1"/>
  <c r="AF66" i="6" s="1"/>
  <c r="AK66" i="6" s="1"/>
  <c r="AB65" i="6"/>
  <c r="AC65" i="6" s="1"/>
  <c r="Y65" i="6"/>
  <c r="Z65" i="6" s="1"/>
  <c r="Q65" i="6"/>
  <c r="R65" i="6" s="1"/>
  <c r="W65" i="6" s="1"/>
  <c r="AF65" i="6" s="1"/>
  <c r="AK65" i="6" s="1"/>
  <c r="AB64" i="6"/>
  <c r="AC64" i="6" s="1"/>
  <c r="Y64" i="6"/>
  <c r="Z64" i="6" s="1"/>
  <c r="R64" i="6"/>
  <c r="W64" i="6" s="1"/>
  <c r="Q64" i="6"/>
  <c r="AC63" i="6"/>
  <c r="AB63" i="6"/>
  <c r="Y63" i="6"/>
  <c r="Z63" i="6" s="1"/>
  <c r="R63" i="6"/>
  <c r="W63" i="6" s="1"/>
  <c r="AF63" i="6" s="1"/>
  <c r="AK63" i="6" s="1"/>
  <c r="Q63" i="6"/>
  <c r="AC62" i="6"/>
  <c r="AB62" i="6"/>
  <c r="Y62" i="6"/>
  <c r="Z62" i="6" s="1"/>
  <c r="AF62" i="6" s="1"/>
  <c r="AK62" i="6" s="1"/>
  <c r="Q62" i="6"/>
  <c r="R62" i="6" s="1"/>
  <c r="W62" i="6" s="1"/>
  <c r="AB61" i="6"/>
  <c r="AC61" i="6" s="1"/>
  <c r="Z61" i="6"/>
  <c r="AF61" i="6" s="1"/>
  <c r="AK61" i="6" s="1"/>
  <c r="Y61" i="6"/>
  <c r="Q61" i="6"/>
  <c r="R61" i="6" s="1"/>
  <c r="W61" i="6" s="1"/>
  <c r="AB60" i="6"/>
  <c r="AC60" i="6" s="1"/>
  <c r="Y60" i="6"/>
  <c r="Z60" i="6" s="1"/>
  <c r="Q60" i="6"/>
  <c r="R60" i="6" s="1"/>
  <c r="W60" i="6" s="1"/>
  <c r="AC59" i="6"/>
  <c r="AB59" i="6"/>
  <c r="Y59" i="6"/>
  <c r="Z59" i="6" s="1"/>
  <c r="Q59" i="6"/>
  <c r="R59" i="6" s="1"/>
  <c r="W59" i="6" s="1"/>
  <c r="AF59" i="6" s="1"/>
  <c r="AK59" i="6" s="1"/>
  <c r="AC58" i="6"/>
  <c r="AF58" i="6" s="1"/>
  <c r="AK58" i="6" s="1"/>
  <c r="AB58" i="6"/>
  <c r="Y58" i="6"/>
  <c r="Z58" i="6" s="1"/>
  <c r="Q58" i="6"/>
  <c r="R58" i="6" s="1"/>
  <c r="W58" i="6" s="1"/>
  <c r="AC57" i="6"/>
  <c r="AB57" i="6"/>
  <c r="Y57" i="6"/>
  <c r="Z57" i="6" s="1"/>
  <c r="AF57" i="6" s="1"/>
  <c r="AK57" i="6" s="1"/>
  <c r="Q57" i="6"/>
  <c r="R57" i="6" s="1"/>
  <c r="W57" i="6" s="1"/>
  <c r="AB56" i="6"/>
  <c r="AC56" i="6" s="1"/>
  <c r="Y56" i="6"/>
  <c r="Z56" i="6" s="1"/>
  <c r="Q56" i="6"/>
  <c r="R56" i="6" s="1"/>
  <c r="W56" i="6" s="1"/>
  <c r="AF56" i="6" s="1"/>
  <c r="AK56" i="6" s="1"/>
  <c r="AC55" i="6"/>
  <c r="AB55" i="6"/>
  <c r="Y55" i="6"/>
  <c r="Z55" i="6" s="1"/>
  <c r="Q55" i="6"/>
  <c r="R55" i="6" s="1"/>
  <c r="W55" i="6" s="1"/>
  <c r="AF55" i="6" s="1"/>
  <c r="AK55" i="6" s="1"/>
  <c r="AC54" i="6"/>
  <c r="AB54" i="6"/>
  <c r="Y54" i="6"/>
  <c r="Z54" i="6" s="1"/>
  <c r="Q54" i="6"/>
  <c r="R54" i="6" s="1"/>
  <c r="W54" i="6" s="1"/>
  <c r="AF54" i="6" s="1"/>
  <c r="AK54" i="6" s="1"/>
  <c r="AB53" i="6"/>
  <c r="AC53" i="6" s="1"/>
  <c r="Y53" i="6"/>
  <c r="Z53" i="6" s="1"/>
  <c r="Q53" i="6"/>
  <c r="R53" i="6" s="1"/>
  <c r="W53" i="6" s="1"/>
  <c r="AF53" i="6" s="1"/>
  <c r="AK53" i="6" s="1"/>
  <c r="AB52" i="6"/>
  <c r="AC52" i="6" s="1"/>
  <c r="Y52" i="6"/>
  <c r="Z52" i="6" s="1"/>
  <c r="R52" i="6"/>
  <c r="W52" i="6" s="1"/>
  <c r="AF52" i="6" s="1"/>
  <c r="AK52" i="6" s="1"/>
  <c r="Q52" i="6"/>
  <c r="AC51" i="6"/>
  <c r="AB51" i="6"/>
  <c r="Y51" i="6"/>
  <c r="Z51" i="6" s="1"/>
  <c r="R51" i="6"/>
  <c r="W51" i="6" s="1"/>
  <c r="AF51" i="6" s="1"/>
  <c r="AK51" i="6" s="1"/>
  <c r="Q51" i="6"/>
  <c r="AC50" i="6"/>
  <c r="AB50" i="6"/>
  <c r="Y50" i="6"/>
  <c r="Z50" i="6" s="1"/>
  <c r="AF50" i="6" s="1"/>
  <c r="AK50" i="6" s="1"/>
  <c r="Q50" i="6"/>
  <c r="R50" i="6" s="1"/>
  <c r="W50" i="6" s="1"/>
  <c r="AB49" i="6"/>
  <c r="AC49" i="6" s="1"/>
  <c r="Z49" i="6"/>
  <c r="AF49" i="6" s="1"/>
  <c r="AK49" i="6" s="1"/>
  <c r="Y49" i="6"/>
  <c r="Q49" i="6"/>
  <c r="R49" i="6" s="1"/>
  <c r="W49" i="6" s="1"/>
  <c r="AB48" i="6"/>
  <c r="AC48" i="6" s="1"/>
  <c r="Y48" i="6"/>
  <c r="Z48" i="6" s="1"/>
  <c r="Q48" i="6"/>
  <c r="R48" i="6" s="1"/>
  <c r="W48" i="6" s="1"/>
  <c r="AF48" i="6" s="1"/>
  <c r="AK48" i="6" s="1"/>
  <c r="AC47" i="6"/>
  <c r="AB47" i="6"/>
  <c r="Y47" i="6"/>
  <c r="Z47" i="6" s="1"/>
  <c r="Q47" i="6"/>
  <c r="R47" i="6" s="1"/>
  <c r="W47" i="6" s="1"/>
  <c r="AF47" i="6" s="1"/>
  <c r="AK47" i="6" s="1"/>
  <c r="AC46" i="6"/>
  <c r="AF46" i="6" s="1"/>
  <c r="AK46" i="6" s="1"/>
  <c r="AB46" i="6"/>
  <c r="Y46" i="6"/>
  <c r="Z46" i="6" s="1"/>
  <c r="Q46" i="6"/>
  <c r="R46" i="6" s="1"/>
  <c r="W46" i="6" s="1"/>
  <c r="AC45" i="6"/>
  <c r="AB45" i="6"/>
  <c r="Y45" i="6"/>
  <c r="Z45" i="6" s="1"/>
  <c r="Q45" i="6"/>
  <c r="R45" i="6" s="1"/>
  <c r="W45" i="6" s="1"/>
  <c r="AF45" i="6" s="1"/>
  <c r="AK45" i="6" s="1"/>
  <c r="AB44" i="6"/>
  <c r="AC44" i="6" s="1"/>
  <c r="Y44" i="6"/>
  <c r="Z44" i="6" s="1"/>
  <c r="Q44" i="6"/>
  <c r="R44" i="6" s="1"/>
  <c r="W44" i="6" s="1"/>
  <c r="AC43" i="6"/>
  <c r="AB43" i="6"/>
  <c r="Y43" i="6"/>
  <c r="Z43" i="6" s="1"/>
  <c r="Q43" i="6"/>
  <c r="R43" i="6" s="1"/>
  <c r="W43" i="6" s="1"/>
  <c r="AF43" i="6" s="1"/>
  <c r="AK43" i="6" s="1"/>
  <c r="AC42" i="6"/>
  <c r="AB42" i="6"/>
  <c r="Y42" i="6"/>
  <c r="Z42" i="6" s="1"/>
  <c r="Q42" i="6"/>
  <c r="R42" i="6" s="1"/>
  <c r="W42" i="6" s="1"/>
  <c r="AF42" i="6" s="1"/>
  <c r="AK42" i="6" s="1"/>
  <c r="AB41" i="6"/>
  <c r="AC41" i="6" s="1"/>
  <c r="Y41" i="6"/>
  <c r="Z41" i="6" s="1"/>
  <c r="Q41" i="6"/>
  <c r="R41" i="6" s="1"/>
  <c r="W41" i="6" s="1"/>
  <c r="AB40" i="6"/>
  <c r="AC40" i="6" s="1"/>
  <c r="Y40" i="6"/>
  <c r="Z40" i="6" s="1"/>
  <c r="R40" i="6"/>
  <c r="W40" i="6" s="1"/>
  <c r="AF40" i="6" s="1"/>
  <c r="AK40" i="6" s="1"/>
  <c r="Q40" i="6"/>
  <c r="AC39" i="6"/>
  <c r="AB39" i="6"/>
  <c r="Y39" i="6"/>
  <c r="Z39" i="6" s="1"/>
  <c r="R39" i="6"/>
  <c r="W39" i="6" s="1"/>
  <c r="AF39" i="6" s="1"/>
  <c r="AK39" i="6" s="1"/>
  <c r="Q39" i="6"/>
  <c r="AC38" i="6"/>
  <c r="AB38" i="6"/>
  <c r="Y38" i="6"/>
  <c r="Z38" i="6" s="1"/>
  <c r="AF38" i="6" s="1"/>
  <c r="AK38" i="6" s="1"/>
  <c r="Q38" i="6"/>
  <c r="R38" i="6" s="1"/>
  <c r="W38" i="6" s="1"/>
  <c r="AB37" i="6"/>
  <c r="AC37" i="6" s="1"/>
  <c r="Z37" i="6"/>
  <c r="AF37" i="6" s="1"/>
  <c r="AK37" i="6" s="1"/>
  <c r="Y37" i="6"/>
  <c r="Q37" i="6"/>
  <c r="R37" i="6" s="1"/>
  <c r="W37" i="6" s="1"/>
  <c r="AB36" i="6"/>
  <c r="AC36" i="6" s="1"/>
  <c r="Y36" i="6"/>
  <c r="Z36" i="6" s="1"/>
  <c r="Q36" i="6"/>
  <c r="R36" i="6" s="1"/>
  <c r="W36" i="6" s="1"/>
  <c r="AF36" i="6" s="1"/>
  <c r="AK36" i="6" s="1"/>
  <c r="AC35" i="6"/>
  <c r="AB35" i="6"/>
  <c r="Y35" i="6"/>
  <c r="Z35" i="6" s="1"/>
  <c r="Q35" i="6"/>
  <c r="R35" i="6" s="1"/>
  <c r="W35" i="6" s="1"/>
  <c r="AF35" i="6" s="1"/>
  <c r="AK35" i="6" s="1"/>
  <c r="AC34" i="6"/>
  <c r="AF34" i="6" s="1"/>
  <c r="AK34" i="6" s="1"/>
  <c r="AB34" i="6"/>
  <c r="Y34" i="6"/>
  <c r="Z34" i="6" s="1"/>
  <c r="Q34" i="6"/>
  <c r="R34" i="6" s="1"/>
  <c r="W34" i="6" s="1"/>
  <c r="AC33" i="6"/>
  <c r="AB33" i="6"/>
  <c r="Y33" i="6"/>
  <c r="Z33" i="6" s="1"/>
  <c r="AF33" i="6" s="1"/>
  <c r="AK33" i="6" s="1"/>
  <c r="Q33" i="6"/>
  <c r="R33" i="6" s="1"/>
  <c r="W33" i="6" s="1"/>
  <c r="AB32" i="6"/>
  <c r="AC32" i="6" s="1"/>
  <c r="Y32" i="6"/>
  <c r="Z32" i="6" s="1"/>
  <c r="Q32" i="6"/>
  <c r="R32" i="6" s="1"/>
  <c r="W32" i="6" s="1"/>
  <c r="AF32" i="6" s="1"/>
  <c r="AK32" i="6" s="1"/>
  <c r="AC31" i="6"/>
  <c r="AB31" i="6"/>
  <c r="Y31" i="6"/>
  <c r="Z31" i="6" s="1"/>
  <c r="Q31" i="6"/>
  <c r="R31" i="6" s="1"/>
  <c r="W31" i="6" s="1"/>
  <c r="AF31" i="6" s="1"/>
  <c r="AK31" i="6" s="1"/>
  <c r="AC30" i="6"/>
  <c r="AB30" i="6"/>
  <c r="Y30" i="6"/>
  <c r="Z30" i="6" s="1"/>
  <c r="Q30" i="6"/>
  <c r="R30" i="6" s="1"/>
  <c r="W30" i="6" s="1"/>
  <c r="AF30" i="6" s="1"/>
  <c r="AK30" i="6" s="1"/>
  <c r="AB29" i="6"/>
  <c r="AC29" i="6" s="1"/>
  <c r="Y29" i="6"/>
  <c r="Z29" i="6" s="1"/>
  <c r="Q29" i="6"/>
  <c r="R29" i="6" s="1"/>
  <c r="W29" i="6" s="1"/>
  <c r="AF29" i="6" s="1"/>
  <c r="AK29" i="6" s="1"/>
  <c r="AB28" i="6"/>
  <c r="AC28" i="6" s="1"/>
  <c r="Y28" i="6"/>
  <c r="Z28" i="6" s="1"/>
  <c r="R28" i="6"/>
  <c r="W28" i="6" s="1"/>
  <c r="Q28" i="6"/>
  <c r="AC27" i="6"/>
  <c r="AB27" i="6"/>
  <c r="Y27" i="6"/>
  <c r="Z27" i="6" s="1"/>
  <c r="R27" i="6"/>
  <c r="W27" i="6" s="1"/>
  <c r="AF27" i="6" s="1"/>
  <c r="AK27" i="6" s="1"/>
  <c r="Q27" i="6"/>
  <c r="AC26" i="6"/>
  <c r="AB26" i="6"/>
  <c r="Y26" i="6"/>
  <c r="Z26" i="6" s="1"/>
  <c r="AF26" i="6" s="1"/>
  <c r="AK26" i="6" s="1"/>
  <c r="Q26" i="6"/>
  <c r="R26" i="6" s="1"/>
  <c r="W26" i="6" s="1"/>
  <c r="AB25" i="6"/>
  <c r="AC25" i="6" s="1"/>
  <c r="Z25" i="6"/>
  <c r="AF25" i="6" s="1"/>
  <c r="AK25" i="6" s="1"/>
  <c r="Y25" i="6"/>
  <c r="Q25" i="6"/>
  <c r="R25" i="6" s="1"/>
  <c r="W25" i="6" s="1"/>
  <c r="AB24" i="6"/>
  <c r="AC24" i="6" s="1"/>
  <c r="Y24" i="6"/>
  <c r="Z24" i="6" s="1"/>
  <c r="Q24" i="6"/>
  <c r="R24" i="6" s="1"/>
  <c r="W24" i="6" s="1"/>
  <c r="AC23" i="6"/>
  <c r="AB23" i="6"/>
  <c r="Y23" i="6"/>
  <c r="Z23" i="6" s="1"/>
  <c r="Q23" i="6"/>
  <c r="R23" i="6" s="1"/>
  <c r="W23" i="6" s="1"/>
  <c r="AF23" i="6" s="1"/>
  <c r="AK23" i="6" s="1"/>
  <c r="AC22" i="6"/>
  <c r="AF22" i="6" s="1"/>
  <c r="AK22" i="6" s="1"/>
  <c r="AB22" i="6"/>
  <c r="Y22" i="6"/>
  <c r="Z22" i="6" s="1"/>
  <c r="Q22" i="6"/>
  <c r="R22" i="6" s="1"/>
  <c r="W22" i="6" s="1"/>
  <c r="AC21" i="6"/>
  <c r="AB21" i="6"/>
  <c r="Y21" i="6"/>
  <c r="Z21" i="6" s="1"/>
  <c r="Q21" i="6"/>
  <c r="R21" i="6" s="1"/>
  <c r="W21" i="6" s="1"/>
  <c r="AB20" i="6"/>
  <c r="AC20" i="6" s="1"/>
  <c r="Y20" i="6"/>
  <c r="Z20" i="6" s="1"/>
  <c r="Q20" i="6"/>
  <c r="R20" i="6" s="1"/>
  <c r="W20" i="6" s="1"/>
  <c r="AF20" i="6" s="1"/>
  <c r="AK20" i="6" s="1"/>
  <c r="AC19" i="6"/>
  <c r="AB19" i="6"/>
  <c r="Y19" i="6"/>
  <c r="Z19" i="6" s="1"/>
  <c r="Q19" i="6"/>
  <c r="R19" i="6" s="1"/>
  <c r="W19" i="6" s="1"/>
  <c r="AF19" i="6" s="1"/>
  <c r="AK19" i="6" s="1"/>
  <c r="AC18" i="6"/>
  <c r="AB18" i="6"/>
  <c r="Y18" i="6"/>
  <c r="Z18" i="6" s="1"/>
  <c r="Q18" i="6"/>
  <c r="R18" i="6" s="1"/>
  <c r="W18" i="6" s="1"/>
  <c r="AF18" i="6" s="1"/>
  <c r="AK18" i="6" s="1"/>
  <c r="AB17" i="6"/>
  <c r="AC17" i="6" s="1"/>
  <c r="Y17" i="6"/>
  <c r="Z17" i="6" s="1"/>
  <c r="Q17" i="6"/>
  <c r="R17" i="6" s="1"/>
  <c r="W17" i="6" s="1"/>
  <c r="AF17" i="6" s="1"/>
  <c r="AK17" i="6" s="1"/>
  <c r="AB16" i="6"/>
  <c r="AC16" i="6" s="1"/>
  <c r="Y16" i="6"/>
  <c r="Z16" i="6" s="1"/>
  <c r="R16" i="6"/>
  <c r="W16" i="6" s="1"/>
  <c r="AF16" i="6" s="1"/>
  <c r="AK16" i="6" s="1"/>
  <c r="Q16" i="6"/>
  <c r="AC15" i="6"/>
  <c r="AB15" i="6"/>
  <c r="Y15" i="6"/>
  <c r="Z15" i="6" s="1"/>
  <c r="R15" i="6"/>
  <c r="W15" i="6" s="1"/>
  <c r="AF15" i="6" s="1"/>
  <c r="AK15" i="6" s="1"/>
  <c r="Q15" i="6"/>
  <c r="AC14" i="6"/>
  <c r="AB14" i="6"/>
  <c r="Y14" i="6"/>
  <c r="Z14" i="6" s="1"/>
  <c r="AF14" i="6" s="1"/>
  <c r="AK14" i="6" s="1"/>
  <c r="Q14" i="6"/>
  <c r="R14" i="6" s="1"/>
  <c r="W14" i="6" s="1"/>
  <c r="AB13" i="6"/>
  <c r="AC13" i="6" s="1"/>
  <c r="Z13" i="6"/>
  <c r="AF13" i="6" s="1"/>
  <c r="AK13" i="6" s="1"/>
  <c r="Y13" i="6"/>
  <c r="Q13" i="6"/>
  <c r="R13" i="6" s="1"/>
  <c r="W13" i="6" s="1"/>
  <c r="AB12" i="6"/>
  <c r="AC12" i="6" s="1"/>
  <c r="Y12" i="6"/>
  <c r="Z12" i="6" s="1"/>
  <c r="Q12" i="6"/>
  <c r="R12" i="6" s="1"/>
  <c r="W12" i="6" s="1"/>
  <c r="AF12" i="6" s="1"/>
  <c r="AK12" i="6" s="1"/>
  <c r="AC11" i="6"/>
  <c r="AB11" i="6"/>
  <c r="Y11" i="6"/>
  <c r="Z11" i="6" s="1"/>
  <c r="Q11" i="6"/>
  <c r="R11" i="6" s="1"/>
  <c r="W11" i="6" s="1"/>
  <c r="AF11" i="6" s="1"/>
  <c r="AK11" i="6" s="1"/>
  <c r="AC10" i="6"/>
  <c r="AF10" i="6" s="1"/>
  <c r="AK10" i="6" s="1"/>
  <c r="AB10" i="6"/>
  <c r="Y10" i="6"/>
  <c r="Z10" i="6" s="1"/>
  <c r="Q10" i="6"/>
  <c r="R10" i="6" s="1"/>
  <c r="W10" i="6" s="1"/>
  <c r="AC9" i="6"/>
  <c r="AB9" i="6"/>
  <c r="Y9" i="6"/>
  <c r="Z9" i="6" s="1"/>
  <c r="AF9" i="6" s="1"/>
  <c r="AK9" i="6" s="1"/>
  <c r="Q9" i="6"/>
  <c r="R9" i="6" s="1"/>
  <c r="W9" i="6" s="1"/>
  <c r="AB8" i="6"/>
  <c r="AC8" i="6" s="1"/>
  <c r="Y8" i="6"/>
  <c r="Z8" i="6" s="1"/>
  <c r="Q8" i="6"/>
  <c r="Q74" i="6" s="1"/>
  <c r="AC7" i="6"/>
  <c r="AB7" i="6"/>
  <c r="Y7" i="6"/>
  <c r="Q7" i="6"/>
  <c r="R7" i="6" s="1"/>
  <c r="AJ74" i="5"/>
  <c r="AI74" i="5"/>
  <c r="AH74" i="5"/>
  <c r="AG74" i="5"/>
  <c r="AE74" i="5"/>
  <c r="AD74" i="5"/>
  <c r="AB74" i="5"/>
  <c r="AA74" i="5"/>
  <c r="X74" i="5"/>
  <c r="V74" i="5"/>
  <c r="U74" i="5"/>
  <c r="T74" i="5"/>
  <c r="S74" i="5"/>
  <c r="P74" i="5"/>
  <c r="O74" i="5"/>
  <c r="N74" i="5"/>
  <c r="M74" i="5"/>
  <c r="L74" i="5"/>
  <c r="K74" i="5"/>
  <c r="J74" i="5"/>
  <c r="I74" i="5"/>
  <c r="G74" i="5"/>
  <c r="AB73" i="5"/>
  <c r="AC73" i="5" s="1"/>
  <c r="Y73" i="5"/>
  <c r="Z73" i="5" s="1"/>
  <c r="AF73" i="5" s="1"/>
  <c r="AK73" i="5" s="1"/>
  <c r="W73" i="5"/>
  <c r="R73" i="5"/>
  <c r="Q73" i="5"/>
  <c r="AC72" i="5"/>
  <c r="AB72" i="5"/>
  <c r="Y72" i="5"/>
  <c r="Z72" i="5" s="1"/>
  <c r="W72" i="5"/>
  <c r="AF72" i="5" s="1"/>
  <c r="AK72" i="5" s="1"/>
  <c r="R72" i="5"/>
  <c r="Q72" i="5"/>
  <c r="AC71" i="5"/>
  <c r="AB71" i="5"/>
  <c r="Y71" i="5"/>
  <c r="Z71" i="5" s="1"/>
  <c r="Q71" i="5"/>
  <c r="R71" i="5" s="1"/>
  <c r="W71" i="5" s="1"/>
  <c r="AF71" i="5" s="1"/>
  <c r="AK71" i="5" s="1"/>
  <c r="AC70" i="5"/>
  <c r="AB70" i="5"/>
  <c r="Z70" i="5"/>
  <c r="Y70" i="5"/>
  <c r="Q70" i="5"/>
  <c r="R70" i="5" s="1"/>
  <c r="W70" i="5" s="1"/>
  <c r="AF70" i="5" s="1"/>
  <c r="AK70" i="5" s="1"/>
  <c r="AB69" i="5"/>
  <c r="AC69" i="5" s="1"/>
  <c r="Y69" i="5"/>
  <c r="Z69" i="5" s="1"/>
  <c r="AF69" i="5" s="1"/>
  <c r="AK69" i="5" s="1"/>
  <c r="W69" i="5"/>
  <c r="R69" i="5"/>
  <c r="Q69" i="5"/>
  <c r="AC68" i="5"/>
  <c r="AB68" i="5"/>
  <c r="Y68" i="5"/>
  <c r="Z68" i="5" s="1"/>
  <c r="W68" i="5"/>
  <c r="AF68" i="5" s="1"/>
  <c r="AK68" i="5" s="1"/>
  <c r="R68" i="5"/>
  <c r="Q68" i="5"/>
  <c r="AC67" i="5"/>
  <c r="AB67" i="5"/>
  <c r="Y67" i="5"/>
  <c r="Z67" i="5" s="1"/>
  <c r="Q67" i="5"/>
  <c r="R67" i="5" s="1"/>
  <c r="W67" i="5" s="1"/>
  <c r="AF67" i="5" s="1"/>
  <c r="AK67" i="5" s="1"/>
  <c r="AC66" i="5"/>
  <c r="AB66" i="5"/>
  <c r="Z66" i="5"/>
  <c r="Y66" i="5"/>
  <c r="Q66" i="5"/>
  <c r="R66" i="5" s="1"/>
  <c r="W66" i="5" s="1"/>
  <c r="AF66" i="5" s="1"/>
  <c r="AK66" i="5" s="1"/>
  <c r="AB65" i="5"/>
  <c r="AC65" i="5" s="1"/>
  <c r="Y65" i="5"/>
  <c r="Z65" i="5" s="1"/>
  <c r="AF65" i="5" s="1"/>
  <c r="AK65" i="5" s="1"/>
  <c r="W65" i="5"/>
  <c r="R65" i="5"/>
  <c r="Q65" i="5"/>
  <c r="AC64" i="5"/>
  <c r="AB64" i="5"/>
  <c r="Y64" i="5"/>
  <c r="Z64" i="5" s="1"/>
  <c r="W64" i="5"/>
  <c r="AF64" i="5" s="1"/>
  <c r="AK64" i="5" s="1"/>
  <c r="R64" i="5"/>
  <c r="Q64" i="5"/>
  <c r="AC63" i="5"/>
  <c r="AB63" i="5"/>
  <c r="Y63" i="5"/>
  <c r="Z63" i="5" s="1"/>
  <c r="Q63" i="5"/>
  <c r="R63" i="5" s="1"/>
  <c r="W63" i="5" s="1"/>
  <c r="AF63" i="5" s="1"/>
  <c r="AK63" i="5" s="1"/>
  <c r="AC62" i="5"/>
  <c r="AB62" i="5"/>
  <c r="Z62" i="5"/>
  <c r="Y62" i="5"/>
  <c r="Q62" i="5"/>
  <c r="R62" i="5" s="1"/>
  <c r="W62" i="5" s="1"/>
  <c r="AF62" i="5" s="1"/>
  <c r="AK62" i="5" s="1"/>
  <c r="AB61" i="5"/>
  <c r="AC61" i="5" s="1"/>
  <c r="Y61" i="5"/>
  <c r="Z61" i="5" s="1"/>
  <c r="AF61" i="5" s="1"/>
  <c r="AK61" i="5" s="1"/>
  <c r="W61" i="5"/>
  <c r="R61" i="5"/>
  <c r="Q61" i="5"/>
  <c r="AC60" i="5"/>
  <c r="AB60" i="5"/>
  <c r="Y60" i="5"/>
  <c r="Z60" i="5" s="1"/>
  <c r="W60" i="5"/>
  <c r="AF60" i="5" s="1"/>
  <c r="AK60" i="5" s="1"/>
  <c r="R60" i="5"/>
  <c r="Q60" i="5"/>
  <c r="AC59" i="5"/>
  <c r="AB59" i="5"/>
  <c r="Y59" i="5"/>
  <c r="Z59" i="5" s="1"/>
  <c r="Q59" i="5"/>
  <c r="R59" i="5" s="1"/>
  <c r="W59" i="5" s="1"/>
  <c r="AF59" i="5" s="1"/>
  <c r="AK59" i="5" s="1"/>
  <c r="AC58" i="5"/>
  <c r="AB58" i="5"/>
  <c r="Z58" i="5"/>
  <c r="Y58" i="5"/>
  <c r="Q58" i="5"/>
  <c r="R58" i="5" s="1"/>
  <c r="W58" i="5" s="1"/>
  <c r="AF58" i="5" s="1"/>
  <c r="AK58" i="5" s="1"/>
  <c r="AB57" i="5"/>
  <c r="AC57" i="5" s="1"/>
  <c r="Y57" i="5"/>
  <c r="Z57" i="5" s="1"/>
  <c r="AF57" i="5" s="1"/>
  <c r="AK57" i="5" s="1"/>
  <c r="W57" i="5"/>
  <c r="R57" i="5"/>
  <c r="Q57" i="5"/>
  <c r="AC56" i="5"/>
  <c r="AB56" i="5"/>
  <c r="Y56" i="5"/>
  <c r="Z56" i="5" s="1"/>
  <c r="W56" i="5"/>
  <c r="AF56" i="5" s="1"/>
  <c r="AK56" i="5" s="1"/>
  <c r="R56" i="5"/>
  <c r="Q56" i="5"/>
  <c r="AC55" i="5"/>
  <c r="AB55" i="5"/>
  <c r="Y55" i="5"/>
  <c r="Z55" i="5" s="1"/>
  <c r="Q55" i="5"/>
  <c r="R55" i="5" s="1"/>
  <c r="W55" i="5" s="1"/>
  <c r="AF55" i="5" s="1"/>
  <c r="AK55" i="5" s="1"/>
  <c r="AC54" i="5"/>
  <c r="AB54" i="5"/>
  <c r="Z54" i="5"/>
  <c r="Y54" i="5"/>
  <c r="Q54" i="5"/>
  <c r="R54" i="5" s="1"/>
  <c r="W54" i="5" s="1"/>
  <c r="AF54" i="5" s="1"/>
  <c r="AK54" i="5" s="1"/>
  <c r="AB53" i="5"/>
  <c r="AC53" i="5" s="1"/>
  <c r="Y53" i="5"/>
  <c r="Z53" i="5" s="1"/>
  <c r="AF53" i="5" s="1"/>
  <c r="AK53" i="5" s="1"/>
  <c r="W53" i="5"/>
  <c r="R53" i="5"/>
  <c r="Q53" i="5"/>
  <c r="AC52" i="5"/>
  <c r="AB52" i="5"/>
  <c r="Y52" i="5"/>
  <c r="Z52" i="5" s="1"/>
  <c r="W52" i="5"/>
  <c r="AF52" i="5" s="1"/>
  <c r="AK52" i="5" s="1"/>
  <c r="R52" i="5"/>
  <c r="Q52" i="5"/>
  <c r="AC51" i="5"/>
  <c r="AB51" i="5"/>
  <c r="Y51" i="5"/>
  <c r="Z51" i="5" s="1"/>
  <c r="Q51" i="5"/>
  <c r="R51" i="5" s="1"/>
  <c r="W51" i="5" s="1"/>
  <c r="AF51" i="5" s="1"/>
  <c r="AK51" i="5" s="1"/>
  <c r="AC50" i="5"/>
  <c r="AB50" i="5"/>
  <c r="Z50" i="5"/>
  <c r="Y50" i="5"/>
  <c r="Q50" i="5"/>
  <c r="R50" i="5" s="1"/>
  <c r="W50" i="5" s="1"/>
  <c r="AF50" i="5" s="1"/>
  <c r="AK50" i="5" s="1"/>
  <c r="AB49" i="5"/>
  <c r="AC49" i="5" s="1"/>
  <c r="Y49" i="5"/>
  <c r="Z49" i="5" s="1"/>
  <c r="AF49" i="5" s="1"/>
  <c r="AK49" i="5" s="1"/>
  <c r="W49" i="5"/>
  <c r="R49" i="5"/>
  <c r="Q49" i="5"/>
  <c r="AC48" i="5"/>
  <c r="AB48" i="5"/>
  <c r="Y48" i="5"/>
  <c r="Z48" i="5" s="1"/>
  <c r="W48" i="5"/>
  <c r="AF48" i="5" s="1"/>
  <c r="AK48" i="5" s="1"/>
  <c r="R48" i="5"/>
  <c r="Q48" i="5"/>
  <c r="AC47" i="5"/>
  <c r="AB47" i="5"/>
  <c r="Y47" i="5"/>
  <c r="Z47" i="5" s="1"/>
  <c r="Q47" i="5"/>
  <c r="R47" i="5" s="1"/>
  <c r="W47" i="5" s="1"/>
  <c r="AF47" i="5" s="1"/>
  <c r="AK47" i="5" s="1"/>
  <c r="AC46" i="5"/>
  <c r="AB46" i="5"/>
  <c r="Z46" i="5"/>
  <c r="Y46" i="5"/>
  <c r="Q46" i="5"/>
  <c r="R46" i="5" s="1"/>
  <c r="W46" i="5" s="1"/>
  <c r="AF46" i="5" s="1"/>
  <c r="AK46" i="5" s="1"/>
  <c r="AB45" i="5"/>
  <c r="AC45" i="5" s="1"/>
  <c r="Y45" i="5"/>
  <c r="Z45" i="5" s="1"/>
  <c r="AF45" i="5" s="1"/>
  <c r="AK45" i="5" s="1"/>
  <c r="W45" i="5"/>
  <c r="R45" i="5"/>
  <c r="Q45" i="5"/>
  <c r="AC44" i="5"/>
  <c r="AB44" i="5"/>
  <c r="Y44" i="5"/>
  <c r="Z44" i="5" s="1"/>
  <c r="W44" i="5"/>
  <c r="AF44" i="5" s="1"/>
  <c r="AK44" i="5" s="1"/>
  <c r="R44" i="5"/>
  <c r="Q44" i="5"/>
  <c r="AC43" i="5"/>
  <c r="AB43" i="5"/>
  <c r="Y43" i="5"/>
  <c r="Z43" i="5" s="1"/>
  <c r="Q43" i="5"/>
  <c r="R43" i="5" s="1"/>
  <c r="W43" i="5" s="1"/>
  <c r="AF43" i="5" s="1"/>
  <c r="AK43" i="5" s="1"/>
  <c r="AC42" i="5"/>
  <c r="AB42" i="5"/>
  <c r="Z42" i="5"/>
  <c r="Y42" i="5"/>
  <c r="Q42" i="5"/>
  <c r="R42" i="5" s="1"/>
  <c r="W42" i="5" s="1"/>
  <c r="AF42" i="5" s="1"/>
  <c r="AK42" i="5" s="1"/>
  <c r="AB41" i="5"/>
  <c r="AC41" i="5" s="1"/>
  <c r="Y41" i="5"/>
  <c r="Z41" i="5" s="1"/>
  <c r="AF41" i="5" s="1"/>
  <c r="AK41" i="5" s="1"/>
  <c r="W41" i="5"/>
  <c r="R41" i="5"/>
  <c r="Q41" i="5"/>
  <c r="AC40" i="5"/>
  <c r="AB40" i="5"/>
  <c r="Y40" i="5"/>
  <c r="Z40" i="5" s="1"/>
  <c r="W40" i="5"/>
  <c r="AF40" i="5" s="1"/>
  <c r="AK40" i="5" s="1"/>
  <c r="R40" i="5"/>
  <c r="Q40" i="5"/>
  <c r="AC39" i="5"/>
  <c r="AB39" i="5"/>
  <c r="Y39" i="5"/>
  <c r="Z39" i="5" s="1"/>
  <c r="Q39" i="5"/>
  <c r="R39" i="5" s="1"/>
  <c r="W39" i="5" s="1"/>
  <c r="AF39" i="5" s="1"/>
  <c r="AK39" i="5" s="1"/>
  <c r="AC38" i="5"/>
  <c r="AB38" i="5"/>
  <c r="Z38" i="5"/>
  <c r="Y38" i="5"/>
  <c r="Q38" i="5"/>
  <c r="R38" i="5" s="1"/>
  <c r="W38" i="5" s="1"/>
  <c r="AF38" i="5" s="1"/>
  <c r="AK38" i="5" s="1"/>
  <c r="AB37" i="5"/>
  <c r="AC37" i="5" s="1"/>
  <c r="Y37" i="5"/>
  <c r="Z37" i="5" s="1"/>
  <c r="AF37" i="5" s="1"/>
  <c r="AK37" i="5" s="1"/>
  <c r="W37" i="5"/>
  <c r="R37" i="5"/>
  <c r="Q37" i="5"/>
  <c r="AC36" i="5"/>
  <c r="AB36" i="5"/>
  <c r="Y36" i="5"/>
  <c r="Z36" i="5" s="1"/>
  <c r="W36" i="5"/>
  <c r="AF36" i="5" s="1"/>
  <c r="AK36" i="5" s="1"/>
  <c r="R36" i="5"/>
  <c r="Q36" i="5"/>
  <c r="AC35" i="5"/>
  <c r="AB35" i="5"/>
  <c r="Y35" i="5"/>
  <c r="Z35" i="5" s="1"/>
  <c r="Q35" i="5"/>
  <c r="R35" i="5" s="1"/>
  <c r="W35" i="5" s="1"/>
  <c r="AF35" i="5" s="1"/>
  <c r="AK35" i="5" s="1"/>
  <c r="AC34" i="5"/>
  <c r="AB34" i="5"/>
  <c r="Z34" i="5"/>
  <c r="Y34" i="5"/>
  <c r="Q34" i="5"/>
  <c r="R34" i="5" s="1"/>
  <c r="W34" i="5" s="1"/>
  <c r="AF34" i="5" s="1"/>
  <c r="AK34" i="5" s="1"/>
  <c r="AB33" i="5"/>
  <c r="AC33" i="5" s="1"/>
  <c r="Y33" i="5"/>
  <c r="Z33" i="5" s="1"/>
  <c r="AF33" i="5" s="1"/>
  <c r="AK33" i="5" s="1"/>
  <c r="W33" i="5"/>
  <c r="R33" i="5"/>
  <c r="Q33" i="5"/>
  <c r="AC32" i="5"/>
  <c r="AB32" i="5"/>
  <c r="Y32" i="5"/>
  <c r="Z32" i="5" s="1"/>
  <c r="W32" i="5"/>
  <c r="AF32" i="5" s="1"/>
  <c r="AK32" i="5" s="1"/>
  <c r="R32" i="5"/>
  <c r="Q32" i="5"/>
  <c r="AC31" i="5"/>
  <c r="AB31" i="5"/>
  <c r="Y31" i="5"/>
  <c r="Z31" i="5" s="1"/>
  <c r="Q31" i="5"/>
  <c r="R31" i="5" s="1"/>
  <c r="W31" i="5" s="1"/>
  <c r="AF31" i="5" s="1"/>
  <c r="AK31" i="5" s="1"/>
  <c r="AC30" i="5"/>
  <c r="AB30" i="5"/>
  <c r="Z30" i="5"/>
  <c r="Y30" i="5"/>
  <c r="Q30" i="5"/>
  <c r="R30" i="5" s="1"/>
  <c r="W30" i="5" s="1"/>
  <c r="AF30" i="5" s="1"/>
  <c r="AK30" i="5" s="1"/>
  <c r="AB29" i="5"/>
  <c r="AC29" i="5" s="1"/>
  <c r="Y29" i="5"/>
  <c r="Z29" i="5" s="1"/>
  <c r="AF29" i="5" s="1"/>
  <c r="AK29" i="5" s="1"/>
  <c r="W29" i="5"/>
  <c r="R29" i="5"/>
  <c r="Q29" i="5"/>
  <c r="AC28" i="5"/>
  <c r="AB28" i="5"/>
  <c r="Y28" i="5"/>
  <c r="Z28" i="5" s="1"/>
  <c r="Q28" i="5"/>
  <c r="R28" i="5" s="1"/>
  <c r="W28" i="5" s="1"/>
  <c r="AF28" i="5" s="1"/>
  <c r="AK28" i="5" s="1"/>
  <c r="AC27" i="5"/>
  <c r="AB27" i="5"/>
  <c r="Y27" i="5"/>
  <c r="Z27" i="5" s="1"/>
  <c r="Q27" i="5"/>
  <c r="R27" i="5" s="1"/>
  <c r="W27" i="5" s="1"/>
  <c r="AC26" i="5"/>
  <c r="AF26" i="5" s="1"/>
  <c r="AK26" i="5" s="1"/>
  <c r="AB26" i="5"/>
  <c r="Z26" i="5"/>
  <c r="Y26" i="5"/>
  <c r="Q26" i="5"/>
  <c r="R26" i="5" s="1"/>
  <c r="W26" i="5" s="1"/>
  <c r="AB25" i="5"/>
  <c r="AC25" i="5" s="1"/>
  <c r="Y25" i="5"/>
  <c r="Z25" i="5" s="1"/>
  <c r="AF25" i="5" s="1"/>
  <c r="AK25" i="5" s="1"/>
  <c r="W25" i="5"/>
  <c r="R25" i="5"/>
  <c r="Q25" i="5"/>
  <c r="AC24" i="5"/>
  <c r="AB24" i="5"/>
  <c r="Y24" i="5"/>
  <c r="Z24" i="5" s="1"/>
  <c r="Q24" i="5"/>
  <c r="R24" i="5" s="1"/>
  <c r="W24" i="5" s="1"/>
  <c r="AF24" i="5" s="1"/>
  <c r="AK24" i="5" s="1"/>
  <c r="AC23" i="5"/>
  <c r="AB23" i="5"/>
  <c r="Y23" i="5"/>
  <c r="Z23" i="5" s="1"/>
  <c r="Q23" i="5"/>
  <c r="R23" i="5" s="1"/>
  <c r="W23" i="5" s="1"/>
  <c r="AC22" i="5"/>
  <c r="AF22" i="5" s="1"/>
  <c r="AK22" i="5" s="1"/>
  <c r="AB22" i="5"/>
  <c r="Z22" i="5"/>
  <c r="Y22" i="5"/>
  <c r="Q22" i="5"/>
  <c r="R22" i="5" s="1"/>
  <c r="W22" i="5" s="1"/>
  <c r="AB21" i="5"/>
  <c r="AC21" i="5" s="1"/>
  <c r="Y21" i="5"/>
  <c r="Z21" i="5" s="1"/>
  <c r="AF21" i="5" s="1"/>
  <c r="AK21" i="5" s="1"/>
  <c r="W21" i="5"/>
  <c r="R21" i="5"/>
  <c r="Q21" i="5"/>
  <c r="AC20" i="5"/>
  <c r="AB20" i="5"/>
  <c r="Y20" i="5"/>
  <c r="Z20" i="5" s="1"/>
  <c r="W20" i="5"/>
  <c r="R20" i="5"/>
  <c r="Q20" i="5"/>
  <c r="AC19" i="5"/>
  <c r="AB19" i="5"/>
  <c r="Y19" i="5"/>
  <c r="Z19" i="5" s="1"/>
  <c r="Q19" i="5"/>
  <c r="R19" i="5" s="1"/>
  <c r="W19" i="5" s="1"/>
  <c r="AC18" i="5"/>
  <c r="AF18" i="5" s="1"/>
  <c r="AK18" i="5" s="1"/>
  <c r="AB18" i="5"/>
  <c r="Z18" i="5"/>
  <c r="Y18" i="5"/>
  <c r="Q18" i="5"/>
  <c r="R18" i="5" s="1"/>
  <c r="W18" i="5" s="1"/>
  <c r="AB17" i="5"/>
  <c r="AC17" i="5" s="1"/>
  <c r="Y17" i="5"/>
  <c r="Z17" i="5" s="1"/>
  <c r="AF17" i="5" s="1"/>
  <c r="AK17" i="5" s="1"/>
  <c r="W17" i="5"/>
  <c r="R17" i="5"/>
  <c r="Q17" i="5"/>
  <c r="AC16" i="5"/>
  <c r="AB16" i="5"/>
  <c r="Y16" i="5"/>
  <c r="Z16" i="5" s="1"/>
  <c r="W16" i="5"/>
  <c r="R16" i="5"/>
  <c r="Q16" i="5"/>
  <c r="AC15" i="5"/>
  <c r="AB15" i="5"/>
  <c r="Y15" i="5"/>
  <c r="Z15" i="5" s="1"/>
  <c r="Q15" i="5"/>
  <c r="R15" i="5" s="1"/>
  <c r="W15" i="5" s="1"/>
  <c r="AC14" i="5"/>
  <c r="AF14" i="5" s="1"/>
  <c r="AK14" i="5" s="1"/>
  <c r="AB14" i="5"/>
  <c r="Z14" i="5"/>
  <c r="Y14" i="5"/>
  <c r="Q14" i="5"/>
  <c r="R14" i="5" s="1"/>
  <c r="W14" i="5" s="1"/>
  <c r="AB13" i="5"/>
  <c r="AC13" i="5" s="1"/>
  <c r="Y13" i="5"/>
  <c r="Z13" i="5" s="1"/>
  <c r="AF13" i="5" s="1"/>
  <c r="AK13" i="5" s="1"/>
  <c r="W13" i="5"/>
  <c r="R13" i="5"/>
  <c r="Q13" i="5"/>
  <c r="AC12" i="5"/>
  <c r="AB12" i="5"/>
  <c r="Y12" i="5"/>
  <c r="Z12" i="5" s="1"/>
  <c r="W12" i="5"/>
  <c r="R12" i="5"/>
  <c r="Q12" i="5"/>
  <c r="AC11" i="5"/>
  <c r="AB11" i="5"/>
  <c r="Y11" i="5"/>
  <c r="Z11" i="5" s="1"/>
  <c r="Q11" i="5"/>
  <c r="R11" i="5" s="1"/>
  <c r="W11" i="5" s="1"/>
  <c r="AC10" i="5"/>
  <c r="AF10" i="5" s="1"/>
  <c r="AK10" i="5" s="1"/>
  <c r="AB10" i="5"/>
  <c r="Z10" i="5"/>
  <c r="Y10" i="5"/>
  <c r="Q10" i="5"/>
  <c r="R10" i="5" s="1"/>
  <c r="W10" i="5" s="1"/>
  <c r="AB9" i="5"/>
  <c r="AC9" i="5" s="1"/>
  <c r="Y9" i="5"/>
  <c r="Z9" i="5" s="1"/>
  <c r="AF9" i="5" s="1"/>
  <c r="AK9" i="5" s="1"/>
  <c r="W9" i="5"/>
  <c r="R9" i="5"/>
  <c r="Q9" i="5"/>
  <c r="AC8" i="5"/>
  <c r="AB8" i="5"/>
  <c r="Y8" i="5"/>
  <c r="Z8" i="5" s="1"/>
  <c r="W8" i="5"/>
  <c r="R8" i="5"/>
  <c r="Q8" i="5"/>
  <c r="AC7" i="5"/>
  <c r="AB7" i="5"/>
  <c r="Y7" i="5"/>
  <c r="Q7" i="5"/>
  <c r="R7" i="5" s="1"/>
  <c r="AJ74" i="3"/>
  <c r="AI74" i="3"/>
  <c r="AH74" i="3"/>
  <c r="AG74" i="3"/>
  <c r="AE74" i="3"/>
  <c r="AD74" i="3"/>
  <c r="AA74" i="3"/>
  <c r="X74" i="3"/>
  <c r="V74" i="3"/>
  <c r="U74" i="3"/>
  <c r="T74" i="3"/>
  <c r="S74" i="3"/>
  <c r="P74" i="3"/>
  <c r="O74" i="3"/>
  <c r="N74" i="3"/>
  <c r="M74" i="3"/>
  <c r="L74" i="3"/>
  <c r="K74" i="3"/>
  <c r="J74" i="3"/>
  <c r="I74" i="3"/>
  <c r="G74" i="3"/>
  <c r="AB73" i="3"/>
  <c r="AC73" i="3" s="1"/>
  <c r="Y73" i="3"/>
  <c r="Z73" i="3" s="1"/>
  <c r="Q73" i="3"/>
  <c r="R73" i="3" s="1"/>
  <c r="W73" i="3" s="1"/>
  <c r="AC72" i="3"/>
  <c r="AB72" i="3"/>
  <c r="Y72" i="3"/>
  <c r="Z72" i="3" s="1"/>
  <c r="Q72" i="3"/>
  <c r="R72" i="3" s="1"/>
  <c r="W72" i="3" s="1"/>
  <c r="AF72" i="3" s="1"/>
  <c r="AK72" i="3" s="1"/>
  <c r="AB71" i="3"/>
  <c r="AC71" i="3" s="1"/>
  <c r="Y71" i="3"/>
  <c r="Z71" i="3" s="1"/>
  <c r="Q71" i="3"/>
  <c r="R71" i="3" s="1"/>
  <c r="W71" i="3" s="1"/>
  <c r="AC70" i="3"/>
  <c r="AB70" i="3"/>
  <c r="Y70" i="3"/>
  <c r="Z70" i="3" s="1"/>
  <c r="R70" i="3"/>
  <c r="W70" i="3" s="1"/>
  <c r="AF70" i="3" s="1"/>
  <c r="AK70" i="3" s="1"/>
  <c r="Q70" i="3"/>
  <c r="AB69" i="3"/>
  <c r="AC69" i="3" s="1"/>
  <c r="Y69" i="3"/>
  <c r="Z69" i="3" s="1"/>
  <c r="AF69" i="3" s="1"/>
  <c r="AK69" i="3" s="1"/>
  <c r="W69" i="3"/>
  <c r="R69" i="3"/>
  <c r="Q69" i="3"/>
  <c r="AC68" i="3"/>
  <c r="AB68" i="3"/>
  <c r="Y68" i="3"/>
  <c r="Z68" i="3" s="1"/>
  <c r="R68" i="3"/>
  <c r="W68" i="3" s="1"/>
  <c r="AF68" i="3" s="1"/>
  <c r="AK68" i="3" s="1"/>
  <c r="Q68" i="3"/>
  <c r="AB67" i="3"/>
  <c r="AC67" i="3" s="1"/>
  <c r="Y67" i="3"/>
  <c r="Z67" i="3" s="1"/>
  <c r="Q67" i="3"/>
  <c r="R67" i="3" s="1"/>
  <c r="W67" i="3" s="1"/>
  <c r="AC66" i="3"/>
  <c r="AF66" i="3" s="1"/>
  <c r="AK66" i="3" s="1"/>
  <c r="AB66" i="3"/>
  <c r="Z66" i="3"/>
  <c r="Y66" i="3"/>
  <c r="R66" i="3"/>
  <c r="W66" i="3" s="1"/>
  <c r="Q66" i="3"/>
  <c r="AB65" i="3"/>
  <c r="AC65" i="3" s="1"/>
  <c r="Z65" i="3"/>
  <c r="Y65" i="3"/>
  <c r="W65" i="3"/>
  <c r="R65" i="3"/>
  <c r="Q65" i="3"/>
  <c r="AC64" i="3"/>
  <c r="AB64" i="3"/>
  <c r="Y64" i="3"/>
  <c r="Z64" i="3" s="1"/>
  <c r="Q64" i="3"/>
  <c r="R64" i="3" s="1"/>
  <c r="W64" i="3" s="1"/>
  <c r="AF64" i="3" s="1"/>
  <c r="AK64" i="3" s="1"/>
  <c r="AB63" i="3"/>
  <c r="AC63" i="3" s="1"/>
  <c r="Y63" i="3"/>
  <c r="Z63" i="3" s="1"/>
  <c r="Q63" i="3"/>
  <c r="R63" i="3" s="1"/>
  <c r="W63" i="3" s="1"/>
  <c r="AC62" i="3"/>
  <c r="AB62" i="3"/>
  <c r="Z62" i="3"/>
  <c r="Y62" i="3"/>
  <c r="Q62" i="3"/>
  <c r="R62" i="3" s="1"/>
  <c r="W62" i="3" s="1"/>
  <c r="AF62" i="3" s="1"/>
  <c r="AK62" i="3" s="1"/>
  <c r="AC61" i="3"/>
  <c r="AB61" i="3"/>
  <c r="Y61" i="3"/>
  <c r="Z61" i="3" s="1"/>
  <c r="AF61" i="3" s="1"/>
  <c r="AK61" i="3" s="1"/>
  <c r="W61" i="3"/>
  <c r="R61" i="3"/>
  <c r="Q61" i="3"/>
  <c r="AC60" i="3"/>
  <c r="AB60" i="3"/>
  <c r="Y60" i="3"/>
  <c r="Z60" i="3" s="1"/>
  <c r="R60" i="3"/>
  <c r="W60" i="3" s="1"/>
  <c r="AF60" i="3" s="1"/>
  <c r="AK60" i="3" s="1"/>
  <c r="Q60" i="3"/>
  <c r="AB59" i="3"/>
  <c r="AC59" i="3" s="1"/>
  <c r="Y59" i="3"/>
  <c r="Z59" i="3" s="1"/>
  <c r="Q59" i="3"/>
  <c r="R59" i="3" s="1"/>
  <c r="W59" i="3" s="1"/>
  <c r="AC58" i="3"/>
  <c r="AB58" i="3"/>
  <c r="Z58" i="3"/>
  <c r="Y58" i="3"/>
  <c r="R58" i="3"/>
  <c r="W58" i="3" s="1"/>
  <c r="AF58" i="3" s="1"/>
  <c r="AK58" i="3" s="1"/>
  <c r="Q58" i="3"/>
  <c r="AB57" i="3"/>
  <c r="AC57" i="3" s="1"/>
  <c r="Y57" i="3"/>
  <c r="Z57" i="3" s="1"/>
  <c r="AF57" i="3" s="1"/>
  <c r="AK57" i="3" s="1"/>
  <c r="W57" i="3"/>
  <c r="R57" i="3"/>
  <c r="Q57" i="3"/>
  <c r="AC56" i="3"/>
  <c r="AB56" i="3"/>
  <c r="Y56" i="3"/>
  <c r="Z56" i="3" s="1"/>
  <c r="Q56" i="3"/>
  <c r="R56" i="3" s="1"/>
  <c r="W56" i="3" s="1"/>
  <c r="AF56" i="3" s="1"/>
  <c r="AK56" i="3" s="1"/>
  <c r="AB55" i="3"/>
  <c r="AC55" i="3" s="1"/>
  <c r="Y55" i="3"/>
  <c r="Z55" i="3" s="1"/>
  <c r="Q55" i="3"/>
  <c r="R55" i="3" s="1"/>
  <c r="W55" i="3" s="1"/>
  <c r="AC54" i="3"/>
  <c r="AB54" i="3"/>
  <c r="Z54" i="3"/>
  <c r="Y54" i="3"/>
  <c r="Q54" i="3"/>
  <c r="R54" i="3" s="1"/>
  <c r="W54" i="3" s="1"/>
  <c r="AF54" i="3" s="1"/>
  <c r="AK54" i="3" s="1"/>
  <c r="AB53" i="3"/>
  <c r="AC53" i="3" s="1"/>
  <c r="Z53" i="3"/>
  <c r="Y53" i="3"/>
  <c r="W53" i="3"/>
  <c r="R53" i="3"/>
  <c r="Q53" i="3"/>
  <c r="AC52" i="3"/>
  <c r="AB52" i="3"/>
  <c r="Y52" i="3"/>
  <c r="Z52" i="3" s="1"/>
  <c r="Q52" i="3"/>
  <c r="R52" i="3" s="1"/>
  <c r="W52" i="3" s="1"/>
  <c r="AF52" i="3" s="1"/>
  <c r="AK52" i="3" s="1"/>
  <c r="AB51" i="3"/>
  <c r="AC51" i="3" s="1"/>
  <c r="Y51" i="3"/>
  <c r="Z51" i="3" s="1"/>
  <c r="Q51" i="3"/>
  <c r="R51" i="3" s="1"/>
  <c r="W51" i="3" s="1"/>
  <c r="AC50" i="3"/>
  <c r="AB50" i="3"/>
  <c r="Z50" i="3"/>
  <c r="Y50" i="3"/>
  <c r="Q50" i="3"/>
  <c r="R50" i="3" s="1"/>
  <c r="W50" i="3" s="1"/>
  <c r="AF50" i="3" s="1"/>
  <c r="AK50" i="3" s="1"/>
  <c r="AC49" i="3"/>
  <c r="AB49" i="3"/>
  <c r="Z49" i="3"/>
  <c r="Y49" i="3"/>
  <c r="W49" i="3"/>
  <c r="R49" i="3"/>
  <c r="Q49" i="3"/>
  <c r="AC48" i="3"/>
  <c r="AB48" i="3"/>
  <c r="Y48" i="3"/>
  <c r="Z48" i="3" s="1"/>
  <c r="R48" i="3"/>
  <c r="W48" i="3" s="1"/>
  <c r="AF48" i="3" s="1"/>
  <c r="AK48" i="3" s="1"/>
  <c r="Q48" i="3"/>
  <c r="AB47" i="3"/>
  <c r="AC47" i="3" s="1"/>
  <c r="Y47" i="3"/>
  <c r="Z47" i="3" s="1"/>
  <c r="Q47" i="3"/>
  <c r="R47" i="3" s="1"/>
  <c r="W47" i="3" s="1"/>
  <c r="AC46" i="3"/>
  <c r="AB46" i="3"/>
  <c r="Z46" i="3"/>
  <c r="Y46" i="3"/>
  <c r="R46" i="3"/>
  <c r="W46" i="3" s="1"/>
  <c r="AF46" i="3" s="1"/>
  <c r="AK46" i="3" s="1"/>
  <c r="Q46" i="3"/>
  <c r="AC45" i="3"/>
  <c r="AB45" i="3"/>
  <c r="Y45" i="3"/>
  <c r="Z45" i="3" s="1"/>
  <c r="AF45" i="3" s="1"/>
  <c r="AK45" i="3" s="1"/>
  <c r="W45" i="3"/>
  <c r="R45" i="3"/>
  <c r="Q45" i="3"/>
  <c r="AC44" i="3"/>
  <c r="AB44" i="3"/>
  <c r="Y44" i="3"/>
  <c r="Z44" i="3" s="1"/>
  <c r="R44" i="3"/>
  <c r="W44" i="3" s="1"/>
  <c r="AF44" i="3" s="1"/>
  <c r="AK44" i="3" s="1"/>
  <c r="Q44" i="3"/>
  <c r="AB43" i="3"/>
  <c r="AC43" i="3" s="1"/>
  <c r="Y43" i="3"/>
  <c r="Z43" i="3" s="1"/>
  <c r="Q43" i="3"/>
  <c r="R43" i="3" s="1"/>
  <c r="W43" i="3" s="1"/>
  <c r="AC42" i="3"/>
  <c r="AF42" i="3" s="1"/>
  <c r="AK42" i="3" s="1"/>
  <c r="AB42" i="3"/>
  <c r="Z42" i="3"/>
  <c r="Y42" i="3"/>
  <c r="R42" i="3"/>
  <c r="W42" i="3" s="1"/>
  <c r="Q42" i="3"/>
  <c r="AB41" i="3"/>
  <c r="AC41" i="3" s="1"/>
  <c r="Z41" i="3"/>
  <c r="Y41" i="3"/>
  <c r="W41" i="3"/>
  <c r="R41" i="3"/>
  <c r="Q41" i="3"/>
  <c r="AC40" i="3"/>
  <c r="AB40" i="3"/>
  <c r="Y40" i="3"/>
  <c r="Z40" i="3" s="1"/>
  <c r="Q40" i="3"/>
  <c r="R40" i="3" s="1"/>
  <c r="W40" i="3" s="1"/>
  <c r="AF40" i="3" s="1"/>
  <c r="AK40" i="3" s="1"/>
  <c r="AB39" i="3"/>
  <c r="AC39" i="3" s="1"/>
  <c r="Y39" i="3"/>
  <c r="Z39" i="3" s="1"/>
  <c r="Q39" i="3"/>
  <c r="R39" i="3" s="1"/>
  <c r="W39" i="3" s="1"/>
  <c r="AC38" i="3"/>
  <c r="AB38" i="3"/>
  <c r="Z38" i="3"/>
  <c r="Y38" i="3"/>
  <c r="Q38" i="3"/>
  <c r="R38" i="3" s="1"/>
  <c r="W38" i="3" s="1"/>
  <c r="AF38" i="3" s="1"/>
  <c r="AK38" i="3" s="1"/>
  <c r="AC37" i="3"/>
  <c r="AB37" i="3"/>
  <c r="Y37" i="3"/>
  <c r="Z37" i="3" s="1"/>
  <c r="AF37" i="3" s="1"/>
  <c r="AK37" i="3" s="1"/>
  <c r="W37" i="3"/>
  <c r="R37" i="3"/>
  <c r="Q37" i="3"/>
  <c r="AC36" i="3"/>
  <c r="AB36" i="3"/>
  <c r="Y36" i="3"/>
  <c r="Z36" i="3" s="1"/>
  <c r="R36" i="3"/>
  <c r="W36" i="3" s="1"/>
  <c r="AF36" i="3" s="1"/>
  <c r="AK36" i="3" s="1"/>
  <c r="Q36" i="3"/>
  <c r="AB35" i="3"/>
  <c r="AC35" i="3" s="1"/>
  <c r="Y35" i="3"/>
  <c r="Z35" i="3" s="1"/>
  <c r="Q35" i="3"/>
  <c r="R35" i="3" s="1"/>
  <c r="W35" i="3" s="1"/>
  <c r="AC34" i="3"/>
  <c r="AB34" i="3"/>
  <c r="Z34" i="3"/>
  <c r="Y34" i="3"/>
  <c r="R34" i="3"/>
  <c r="W34" i="3" s="1"/>
  <c r="AF34" i="3" s="1"/>
  <c r="AK34" i="3" s="1"/>
  <c r="Q34" i="3"/>
  <c r="AB33" i="3"/>
  <c r="AC33" i="3" s="1"/>
  <c r="Y33" i="3"/>
  <c r="Z33" i="3" s="1"/>
  <c r="AF33" i="3" s="1"/>
  <c r="AK33" i="3" s="1"/>
  <c r="W33" i="3"/>
  <c r="R33" i="3"/>
  <c r="Q33" i="3"/>
  <c r="AC32" i="3"/>
  <c r="AB32" i="3"/>
  <c r="Y32" i="3"/>
  <c r="Z32" i="3" s="1"/>
  <c r="Q32" i="3"/>
  <c r="R32" i="3" s="1"/>
  <c r="W32" i="3" s="1"/>
  <c r="AF32" i="3" s="1"/>
  <c r="AK32" i="3" s="1"/>
  <c r="AB31" i="3"/>
  <c r="AC31" i="3" s="1"/>
  <c r="Y31" i="3"/>
  <c r="Z31" i="3" s="1"/>
  <c r="Q31" i="3"/>
  <c r="R31" i="3" s="1"/>
  <c r="W31" i="3" s="1"/>
  <c r="AC30" i="3"/>
  <c r="AB30" i="3"/>
  <c r="Z30" i="3"/>
  <c r="Y30" i="3"/>
  <c r="Q30" i="3"/>
  <c r="R30" i="3" s="1"/>
  <c r="W30" i="3" s="1"/>
  <c r="AF30" i="3" s="1"/>
  <c r="AK30" i="3" s="1"/>
  <c r="AB29" i="3"/>
  <c r="AC29" i="3" s="1"/>
  <c r="Z29" i="3"/>
  <c r="Y29" i="3"/>
  <c r="W29" i="3"/>
  <c r="R29" i="3"/>
  <c r="Q29" i="3"/>
  <c r="AC28" i="3"/>
  <c r="AB28" i="3"/>
  <c r="Y28" i="3"/>
  <c r="Z28" i="3" s="1"/>
  <c r="Q28" i="3"/>
  <c r="R28" i="3" s="1"/>
  <c r="W28" i="3" s="1"/>
  <c r="AF28" i="3" s="1"/>
  <c r="AK28" i="3" s="1"/>
  <c r="AB27" i="3"/>
  <c r="AC27" i="3" s="1"/>
  <c r="Y27" i="3"/>
  <c r="Z27" i="3" s="1"/>
  <c r="Q27" i="3"/>
  <c r="R27" i="3" s="1"/>
  <c r="W27" i="3" s="1"/>
  <c r="AC26" i="3"/>
  <c r="AB26" i="3"/>
  <c r="Z26" i="3"/>
  <c r="Y26" i="3"/>
  <c r="Q26" i="3"/>
  <c r="R26" i="3" s="1"/>
  <c r="W26" i="3" s="1"/>
  <c r="AF26" i="3" s="1"/>
  <c r="AK26" i="3" s="1"/>
  <c r="AC25" i="3"/>
  <c r="AB25" i="3"/>
  <c r="Z25" i="3"/>
  <c r="Y25" i="3"/>
  <c r="W25" i="3"/>
  <c r="R25" i="3"/>
  <c r="Q25" i="3"/>
  <c r="AC24" i="3"/>
  <c r="AB24" i="3"/>
  <c r="Y24" i="3"/>
  <c r="Z24" i="3" s="1"/>
  <c r="R24" i="3"/>
  <c r="W24" i="3" s="1"/>
  <c r="AF24" i="3" s="1"/>
  <c r="AK24" i="3" s="1"/>
  <c r="Q24" i="3"/>
  <c r="AB23" i="3"/>
  <c r="AC23" i="3" s="1"/>
  <c r="Z23" i="3"/>
  <c r="Y23" i="3"/>
  <c r="Q23" i="3"/>
  <c r="R23" i="3" s="1"/>
  <c r="W23" i="3" s="1"/>
  <c r="AF23" i="3" s="1"/>
  <c r="AK23" i="3" s="1"/>
  <c r="AC22" i="3"/>
  <c r="AB22" i="3"/>
  <c r="Z22" i="3"/>
  <c r="Y22" i="3"/>
  <c r="R22" i="3"/>
  <c r="W22" i="3" s="1"/>
  <c r="AF22" i="3" s="1"/>
  <c r="AK22" i="3" s="1"/>
  <c r="Q22" i="3"/>
  <c r="AC21" i="3"/>
  <c r="AB21" i="3"/>
  <c r="Y21" i="3"/>
  <c r="Z21" i="3" s="1"/>
  <c r="AF21" i="3" s="1"/>
  <c r="AK21" i="3" s="1"/>
  <c r="W21" i="3"/>
  <c r="R21" i="3"/>
  <c r="Q21" i="3"/>
  <c r="AC20" i="3"/>
  <c r="AB20" i="3"/>
  <c r="Y20" i="3"/>
  <c r="Z20" i="3" s="1"/>
  <c r="R20" i="3"/>
  <c r="W20" i="3" s="1"/>
  <c r="AF20" i="3" s="1"/>
  <c r="AK20" i="3" s="1"/>
  <c r="Q20" i="3"/>
  <c r="AB19" i="3"/>
  <c r="AC19" i="3" s="1"/>
  <c r="Y19" i="3"/>
  <c r="Z19" i="3" s="1"/>
  <c r="Q19" i="3"/>
  <c r="R19" i="3" s="1"/>
  <c r="W19" i="3" s="1"/>
  <c r="AC18" i="3"/>
  <c r="AF18" i="3" s="1"/>
  <c r="AK18" i="3" s="1"/>
  <c r="AB18" i="3"/>
  <c r="Z18" i="3"/>
  <c r="Y18" i="3"/>
  <c r="R18" i="3"/>
  <c r="W18" i="3" s="1"/>
  <c r="Q18" i="3"/>
  <c r="AB17" i="3"/>
  <c r="AC17" i="3" s="1"/>
  <c r="Z17" i="3"/>
  <c r="Y17" i="3"/>
  <c r="W17" i="3"/>
  <c r="R17" i="3"/>
  <c r="Q17" i="3"/>
  <c r="AC16" i="3"/>
  <c r="AB16" i="3"/>
  <c r="Y16" i="3"/>
  <c r="Z16" i="3" s="1"/>
  <c r="Q16" i="3"/>
  <c r="R16" i="3" s="1"/>
  <c r="W16" i="3" s="1"/>
  <c r="AF16" i="3" s="1"/>
  <c r="AK16" i="3" s="1"/>
  <c r="AB15" i="3"/>
  <c r="AC15" i="3" s="1"/>
  <c r="Y15" i="3"/>
  <c r="Z15" i="3" s="1"/>
  <c r="Q15" i="3"/>
  <c r="R15" i="3" s="1"/>
  <c r="W15" i="3" s="1"/>
  <c r="AC14" i="3"/>
  <c r="AB14" i="3"/>
  <c r="Z14" i="3"/>
  <c r="Y14" i="3"/>
  <c r="Q14" i="3"/>
  <c r="R14" i="3" s="1"/>
  <c r="W14" i="3" s="1"/>
  <c r="AF14" i="3" s="1"/>
  <c r="AK14" i="3" s="1"/>
  <c r="AC13" i="3"/>
  <c r="AB13" i="3"/>
  <c r="Y13" i="3"/>
  <c r="Z13" i="3" s="1"/>
  <c r="AF13" i="3" s="1"/>
  <c r="AK13" i="3" s="1"/>
  <c r="W13" i="3"/>
  <c r="R13" i="3"/>
  <c r="Q13" i="3"/>
  <c r="AC12" i="3"/>
  <c r="AB12" i="3"/>
  <c r="Y12" i="3"/>
  <c r="Z12" i="3" s="1"/>
  <c r="R12" i="3"/>
  <c r="W12" i="3" s="1"/>
  <c r="AF12" i="3" s="1"/>
  <c r="AK12" i="3" s="1"/>
  <c r="Q12" i="3"/>
  <c r="AB11" i="3"/>
  <c r="AC11" i="3" s="1"/>
  <c r="Y11" i="3"/>
  <c r="Z11" i="3" s="1"/>
  <c r="Q11" i="3"/>
  <c r="R11" i="3" s="1"/>
  <c r="W11" i="3" s="1"/>
  <c r="AC10" i="3"/>
  <c r="AB10" i="3"/>
  <c r="Z10" i="3"/>
  <c r="Y10" i="3"/>
  <c r="R10" i="3"/>
  <c r="W10" i="3" s="1"/>
  <c r="AF10" i="3" s="1"/>
  <c r="AK10" i="3" s="1"/>
  <c r="Q10" i="3"/>
  <c r="AB9" i="3"/>
  <c r="AC9" i="3" s="1"/>
  <c r="Y9" i="3"/>
  <c r="Z9" i="3" s="1"/>
  <c r="AF9" i="3" s="1"/>
  <c r="AK9" i="3" s="1"/>
  <c r="W9" i="3"/>
  <c r="R9" i="3"/>
  <c r="Q9" i="3"/>
  <c r="AC8" i="3"/>
  <c r="AB8" i="3"/>
  <c r="Y8" i="3"/>
  <c r="Z8" i="3" s="1"/>
  <c r="Q8" i="3"/>
  <c r="Q74" i="3" s="1"/>
  <c r="AB7" i="3"/>
  <c r="AC7" i="3" s="1"/>
  <c r="Y7" i="3"/>
  <c r="Z7" i="3" s="1"/>
  <c r="Q7" i="3"/>
  <c r="R7" i="3" s="1"/>
  <c r="AJ74" i="2"/>
  <c r="AI74" i="2"/>
  <c r="AH74" i="2"/>
  <c r="AG74" i="2"/>
  <c r="AE74" i="2"/>
  <c r="AD74" i="2"/>
  <c r="AA74" i="2"/>
  <c r="X74" i="2"/>
  <c r="V74" i="2"/>
  <c r="U74" i="2"/>
  <c r="T74" i="2"/>
  <c r="S74" i="2"/>
  <c r="P74" i="2"/>
  <c r="O74" i="2"/>
  <c r="N74" i="2"/>
  <c r="M74" i="2"/>
  <c r="L74" i="2"/>
  <c r="K74" i="2"/>
  <c r="J74" i="2"/>
  <c r="I74" i="2"/>
  <c r="G74" i="2"/>
  <c r="AB73" i="2"/>
  <c r="AC73" i="2" s="1"/>
  <c r="Y73" i="2"/>
  <c r="Z73" i="2" s="1"/>
  <c r="Q73" i="2"/>
  <c r="R73" i="2" s="1"/>
  <c r="W73" i="2" s="1"/>
  <c r="AC72" i="2"/>
  <c r="AB72" i="2"/>
  <c r="Y72" i="2"/>
  <c r="Z72" i="2" s="1"/>
  <c r="Q72" i="2"/>
  <c r="R72" i="2" s="1"/>
  <c r="W72" i="2" s="1"/>
  <c r="AF72" i="2" s="1"/>
  <c r="AK72" i="2" s="1"/>
  <c r="AB71" i="2"/>
  <c r="AC71" i="2" s="1"/>
  <c r="Y71" i="2"/>
  <c r="Z71" i="2" s="1"/>
  <c r="Q71" i="2"/>
  <c r="R71" i="2" s="1"/>
  <c r="W71" i="2" s="1"/>
  <c r="AF71" i="2" s="1"/>
  <c r="AK71" i="2" s="1"/>
  <c r="AC70" i="2"/>
  <c r="AB70" i="2"/>
  <c r="Y70" i="2"/>
  <c r="Z70" i="2" s="1"/>
  <c r="Q70" i="2"/>
  <c r="R70" i="2" s="1"/>
  <c r="W70" i="2" s="1"/>
  <c r="AF70" i="2" s="1"/>
  <c r="AK70" i="2" s="1"/>
  <c r="AB69" i="2"/>
  <c r="AC69" i="2" s="1"/>
  <c r="Y69" i="2"/>
  <c r="Z69" i="2" s="1"/>
  <c r="Q69" i="2"/>
  <c r="R69" i="2" s="1"/>
  <c r="W69" i="2" s="1"/>
  <c r="AC68" i="2"/>
  <c r="AB68" i="2"/>
  <c r="Y68" i="2"/>
  <c r="Z68" i="2" s="1"/>
  <c r="Q68" i="2"/>
  <c r="R68" i="2" s="1"/>
  <c r="W68" i="2" s="1"/>
  <c r="AF68" i="2" s="1"/>
  <c r="AK68" i="2" s="1"/>
  <c r="AB67" i="2"/>
  <c r="AC67" i="2" s="1"/>
  <c r="Y67" i="2"/>
  <c r="Z67" i="2" s="1"/>
  <c r="Q67" i="2"/>
  <c r="R67" i="2" s="1"/>
  <c r="W67" i="2" s="1"/>
  <c r="AC66" i="2"/>
  <c r="AB66" i="2"/>
  <c r="Y66" i="2"/>
  <c r="Z66" i="2" s="1"/>
  <c r="AF66" i="2" s="1"/>
  <c r="AK66" i="2" s="1"/>
  <c r="Q66" i="2"/>
  <c r="R66" i="2" s="1"/>
  <c r="W66" i="2" s="1"/>
  <c r="AB65" i="2"/>
  <c r="AC65" i="2" s="1"/>
  <c r="Y65" i="2"/>
  <c r="Z65" i="2" s="1"/>
  <c r="Q65" i="2"/>
  <c r="R65" i="2" s="1"/>
  <c r="W65" i="2" s="1"/>
  <c r="AC64" i="2"/>
  <c r="AB64" i="2"/>
  <c r="Y64" i="2"/>
  <c r="Z64" i="2" s="1"/>
  <c r="Q64" i="2"/>
  <c r="R64" i="2" s="1"/>
  <c r="W64" i="2" s="1"/>
  <c r="AF64" i="2" s="1"/>
  <c r="AK64" i="2" s="1"/>
  <c r="AB63" i="2"/>
  <c r="AC63" i="2" s="1"/>
  <c r="Y63" i="2"/>
  <c r="Z63" i="2" s="1"/>
  <c r="Q63" i="2"/>
  <c r="R63" i="2" s="1"/>
  <c r="W63" i="2" s="1"/>
  <c r="AC62" i="2"/>
  <c r="AB62" i="2"/>
  <c r="Y62" i="2"/>
  <c r="Z62" i="2" s="1"/>
  <c r="Q62" i="2"/>
  <c r="R62" i="2" s="1"/>
  <c r="W62" i="2" s="1"/>
  <c r="AF62" i="2" s="1"/>
  <c r="AK62" i="2" s="1"/>
  <c r="AB61" i="2"/>
  <c r="AC61" i="2" s="1"/>
  <c r="Y61" i="2"/>
  <c r="Z61" i="2" s="1"/>
  <c r="Q61" i="2"/>
  <c r="R61" i="2" s="1"/>
  <c r="W61" i="2" s="1"/>
  <c r="AC60" i="2"/>
  <c r="AB60" i="2"/>
  <c r="Y60" i="2"/>
  <c r="Z60" i="2" s="1"/>
  <c r="Q60" i="2"/>
  <c r="R60" i="2" s="1"/>
  <c r="W60" i="2" s="1"/>
  <c r="AF60" i="2" s="1"/>
  <c r="AK60" i="2" s="1"/>
  <c r="AB59" i="2"/>
  <c r="AC59" i="2" s="1"/>
  <c r="Y59" i="2"/>
  <c r="Z59" i="2" s="1"/>
  <c r="Q59" i="2"/>
  <c r="R59" i="2" s="1"/>
  <c r="W59" i="2" s="1"/>
  <c r="AF59" i="2" s="1"/>
  <c r="AK59" i="2" s="1"/>
  <c r="AC58" i="2"/>
  <c r="AF58" i="2" s="1"/>
  <c r="AK58" i="2" s="1"/>
  <c r="AB58" i="2"/>
  <c r="Y58" i="2"/>
  <c r="Z58" i="2" s="1"/>
  <c r="Q58" i="2"/>
  <c r="R58" i="2" s="1"/>
  <c r="W58" i="2" s="1"/>
  <c r="AB57" i="2"/>
  <c r="AC57" i="2" s="1"/>
  <c r="Y57" i="2"/>
  <c r="Z57" i="2" s="1"/>
  <c r="Q57" i="2"/>
  <c r="R57" i="2" s="1"/>
  <c r="W57" i="2" s="1"/>
  <c r="AC56" i="2"/>
  <c r="AB56" i="2"/>
  <c r="Y56" i="2"/>
  <c r="Z56" i="2" s="1"/>
  <c r="R56" i="2"/>
  <c r="W56" i="2" s="1"/>
  <c r="AF56" i="2" s="1"/>
  <c r="AK56" i="2" s="1"/>
  <c r="Q56" i="2"/>
  <c r="AB55" i="2"/>
  <c r="AC55" i="2" s="1"/>
  <c r="Y55" i="2"/>
  <c r="Z55" i="2" s="1"/>
  <c r="Q55" i="2"/>
  <c r="R55" i="2" s="1"/>
  <c r="W55" i="2" s="1"/>
  <c r="AC54" i="2"/>
  <c r="AB54" i="2"/>
  <c r="Y54" i="2"/>
  <c r="Z54" i="2" s="1"/>
  <c r="Q54" i="2"/>
  <c r="R54" i="2" s="1"/>
  <c r="W54" i="2" s="1"/>
  <c r="AF54" i="2" s="1"/>
  <c r="AK54" i="2" s="1"/>
  <c r="AB53" i="2"/>
  <c r="AC53" i="2" s="1"/>
  <c r="Z53" i="2"/>
  <c r="Y53" i="2"/>
  <c r="Q53" i="2"/>
  <c r="R53" i="2" s="1"/>
  <c r="W53" i="2" s="1"/>
  <c r="AC52" i="2"/>
  <c r="AB52" i="2"/>
  <c r="Y52" i="2"/>
  <c r="Z52" i="2" s="1"/>
  <c r="Q52" i="2"/>
  <c r="R52" i="2" s="1"/>
  <c r="W52" i="2" s="1"/>
  <c r="AF52" i="2" s="1"/>
  <c r="AK52" i="2" s="1"/>
  <c r="AB51" i="2"/>
  <c r="AC51" i="2" s="1"/>
  <c r="Y51" i="2"/>
  <c r="Z51" i="2" s="1"/>
  <c r="Q51" i="2"/>
  <c r="R51" i="2" s="1"/>
  <c r="W51" i="2" s="1"/>
  <c r="AF51" i="2" s="1"/>
  <c r="AK51" i="2" s="1"/>
  <c r="AC50" i="2"/>
  <c r="AB50" i="2"/>
  <c r="Y50" i="2"/>
  <c r="Z50" i="2" s="1"/>
  <c r="Q50" i="2"/>
  <c r="R50" i="2" s="1"/>
  <c r="W50" i="2" s="1"/>
  <c r="AF50" i="2" s="1"/>
  <c r="AK50" i="2" s="1"/>
  <c r="AB49" i="2"/>
  <c r="AC49" i="2" s="1"/>
  <c r="Y49" i="2"/>
  <c r="Z49" i="2" s="1"/>
  <c r="Q49" i="2"/>
  <c r="R49" i="2" s="1"/>
  <c r="W49" i="2" s="1"/>
  <c r="AC48" i="2"/>
  <c r="AB48" i="2"/>
  <c r="Y48" i="2"/>
  <c r="Z48" i="2" s="1"/>
  <c r="R48" i="2"/>
  <c r="W48" i="2" s="1"/>
  <c r="AF48" i="2" s="1"/>
  <c r="AK48" i="2" s="1"/>
  <c r="Q48" i="2"/>
  <c r="AB47" i="2"/>
  <c r="AC47" i="2" s="1"/>
  <c r="Y47" i="2"/>
  <c r="Z47" i="2" s="1"/>
  <c r="Q47" i="2"/>
  <c r="R47" i="2" s="1"/>
  <c r="W47" i="2" s="1"/>
  <c r="AF47" i="2" s="1"/>
  <c r="AK47" i="2" s="1"/>
  <c r="AC46" i="2"/>
  <c r="AB46" i="2"/>
  <c r="Y46" i="2"/>
  <c r="Z46" i="2" s="1"/>
  <c r="Q46" i="2"/>
  <c r="R46" i="2" s="1"/>
  <c r="W46" i="2" s="1"/>
  <c r="AF46" i="2" s="1"/>
  <c r="AK46" i="2" s="1"/>
  <c r="AB45" i="2"/>
  <c r="AC45" i="2" s="1"/>
  <c r="Y45" i="2"/>
  <c r="Z45" i="2" s="1"/>
  <c r="Q45" i="2"/>
  <c r="R45" i="2" s="1"/>
  <c r="W45" i="2" s="1"/>
  <c r="AC44" i="2"/>
  <c r="AB44" i="2"/>
  <c r="Y44" i="2"/>
  <c r="Z44" i="2" s="1"/>
  <c r="Q44" i="2"/>
  <c r="R44" i="2" s="1"/>
  <c r="W44" i="2" s="1"/>
  <c r="AF44" i="2" s="1"/>
  <c r="AK44" i="2" s="1"/>
  <c r="AB43" i="2"/>
  <c r="AC43" i="2" s="1"/>
  <c r="Y43" i="2"/>
  <c r="Z43" i="2" s="1"/>
  <c r="Q43" i="2"/>
  <c r="R43" i="2" s="1"/>
  <c r="W43" i="2" s="1"/>
  <c r="AC42" i="2"/>
  <c r="AB42" i="2"/>
  <c r="Y42" i="2"/>
  <c r="Z42" i="2" s="1"/>
  <c r="Q42" i="2"/>
  <c r="R42" i="2" s="1"/>
  <c r="W42" i="2" s="1"/>
  <c r="AF42" i="2" s="1"/>
  <c r="AK42" i="2" s="1"/>
  <c r="AB41" i="2"/>
  <c r="AC41" i="2" s="1"/>
  <c r="Y41" i="2"/>
  <c r="Z41" i="2" s="1"/>
  <c r="Q41" i="2"/>
  <c r="R41" i="2" s="1"/>
  <c r="W41" i="2" s="1"/>
  <c r="AC40" i="2"/>
  <c r="AB40" i="2"/>
  <c r="Y40" i="2"/>
  <c r="Z40" i="2" s="1"/>
  <c r="R40" i="2"/>
  <c r="W40" i="2" s="1"/>
  <c r="AF40" i="2" s="1"/>
  <c r="AK40" i="2" s="1"/>
  <c r="Q40" i="2"/>
  <c r="AB39" i="2"/>
  <c r="AC39" i="2" s="1"/>
  <c r="Y39" i="2"/>
  <c r="Z39" i="2" s="1"/>
  <c r="Q39" i="2"/>
  <c r="R39" i="2" s="1"/>
  <c r="W39" i="2" s="1"/>
  <c r="AF39" i="2" s="1"/>
  <c r="AK39" i="2" s="1"/>
  <c r="AF38" i="2"/>
  <c r="AK38" i="2" s="1"/>
  <c r="AC38" i="2"/>
  <c r="AB38" i="2"/>
  <c r="Y38" i="2"/>
  <c r="Z38" i="2" s="1"/>
  <c r="Q38" i="2"/>
  <c r="R38" i="2" s="1"/>
  <c r="W38" i="2" s="1"/>
  <c r="AB37" i="2"/>
  <c r="AC37" i="2" s="1"/>
  <c r="Y37" i="2"/>
  <c r="Z37" i="2" s="1"/>
  <c r="Q37" i="2"/>
  <c r="R37" i="2" s="1"/>
  <c r="W37" i="2" s="1"/>
  <c r="AC36" i="2"/>
  <c r="AB36" i="2"/>
  <c r="Y36" i="2"/>
  <c r="Z36" i="2" s="1"/>
  <c r="R36" i="2"/>
  <c r="W36" i="2" s="1"/>
  <c r="AF36" i="2" s="1"/>
  <c r="AK36" i="2" s="1"/>
  <c r="Q36" i="2"/>
  <c r="AB35" i="2"/>
  <c r="AC35" i="2" s="1"/>
  <c r="Y35" i="2"/>
  <c r="Z35" i="2" s="1"/>
  <c r="Q35" i="2"/>
  <c r="R35" i="2" s="1"/>
  <c r="W35" i="2" s="1"/>
  <c r="AF35" i="2" s="1"/>
  <c r="AK35" i="2" s="1"/>
  <c r="AC34" i="2"/>
  <c r="AB34" i="2"/>
  <c r="Y34" i="2"/>
  <c r="Z34" i="2" s="1"/>
  <c r="Q34" i="2"/>
  <c r="R34" i="2" s="1"/>
  <c r="W34" i="2" s="1"/>
  <c r="AF34" i="2" s="1"/>
  <c r="AK34" i="2" s="1"/>
  <c r="AB33" i="2"/>
  <c r="AC33" i="2" s="1"/>
  <c r="Y33" i="2"/>
  <c r="Z33" i="2" s="1"/>
  <c r="Q33" i="2"/>
  <c r="R33" i="2" s="1"/>
  <c r="W33" i="2" s="1"/>
  <c r="AC32" i="2"/>
  <c r="AB32" i="2"/>
  <c r="Y32" i="2"/>
  <c r="Z32" i="2" s="1"/>
  <c r="Q32" i="2"/>
  <c r="R32" i="2" s="1"/>
  <c r="W32" i="2" s="1"/>
  <c r="AF32" i="2" s="1"/>
  <c r="AK32" i="2" s="1"/>
  <c r="AB31" i="2"/>
  <c r="AC31" i="2" s="1"/>
  <c r="Y31" i="2"/>
  <c r="Z31" i="2" s="1"/>
  <c r="Q31" i="2"/>
  <c r="R31" i="2" s="1"/>
  <c r="W31" i="2" s="1"/>
  <c r="AC30" i="2"/>
  <c r="AB30" i="2"/>
  <c r="Y30" i="2"/>
  <c r="Z30" i="2" s="1"/>
  <c r="Q30" i="2"/>
  <c r="R30" i="2" s="1"/>
  <c r="W30" i="2" s="1"/>
  <c r="AF30" i="2" s="1"/>
  <c r="AK30" i="2" s="1"/>
  <c r="AB29" i="2"/>
  <c r="AC29" i="2" s="1"/>
  <c r="Y29" i="2"/>
  <c r="Z29" i="2" s="1"/>
  <c r="Q29" i="2"/>
  <c r="R29" i="2" s="1"/>
  <c r="W29" i="2" s="1"/>
  <c r="AC28" i="2"/>
  <c r="AB28" i="2"/>
  <c r="Y28" i="2"/>
  <c r="Z28" i="2" s="1"/>
  <c r="R28" i="2"/>
  <c r="W28" i="2" s="1"/>
  <c r="AF28" i="2" s="1"/>
  <c r="AK28" i="2" s="1"/>
  <c r="Q28" i="2"/>
  <c r="AB27" i="2"/>
  <c r="AC27" i="2" s="1"/>
  <c r="Y27" i="2"/>
  <c r="Z27" i="2" s="1"/>
  <c r="Q27" i="2"/>
  <c r="R27" i="2" s="1"/>
  <c r="W27" i="2" s="1"/>
  <c r="AF27" i="2" s="1"/>
  <c r="AK27" i="2" s="1"/>
  <c r="AF26" i="2"/>
  <c r="AK26" i="2" s="1"/>
  <c r="AC26" i="2"/>
  <c r="AB26" i="2"/>
  <c r="Y26" i="2"/>
  <c r="Z26" i="2" s="1"/>
  <c r="Q26" i="2"/>
  <c r="R26" i="2" s="1"/>
  <c r="W26" i="2" s="1"/>
  <c r="AB25" i="2"/>
  <c r="AC25" i="2" s="1"/>
  <c r="Y25" i="2"/>
  <c r="Z25" i="2" s="1"/>
  <c r="Q25" i="2"/>
  <c r="R25" i="2" s="1"/>
  <c r="W25" i="2" s="1"/>
  <c r="AC24" i="2"/>
  <c r="AB24" i="2"/>
  <c r="Y24" i="2"/>
  <c r="Z24" i="2" s="1"/>
  <c r="R24" i="2"/>
  <c r="W24" i="2" s="1"/>
  <c r="AF24" i="2" s="1"/>
  <c r="AK24" i="2" s="1"/>
  <c r="Q24" i="2"/>
  <c r="AB23" i="2"/>
  <c r="AC23" i="2" s="1"/>
  <c r="Y23" i="2"/>
  <c r="Z23" i="2" s="1"/>
  <c r="Q23" i="2"/>
  <c r="R23" i="2" s="1"/>
  <c r="W23" i="2" s="1"/>
  <c r="AF23" i="2" s="1"/>
  <c r="AK23" i="2" s="1"/>
  <c r="AC22" i="2"/>
  <c r="AB22" i="2"/>
  <c r="Y22" i="2"/>
  <c r="Z22" i="2" s="1"/>
  <c r="Q22" i="2"/>
  <c r="R22" i="2" s="1"/>
  <c r="W22" i="2" s="1"/>
  <c r="AF22" i="2" s="1"/>
  <c r="AK22" i="2" s="1"/>
  <c r="AB21" i="2"/>
  <c r="AC21" i="2" s="1"/>
  <c r="Y21" i="2"/>
  <c r="Z21" i="2" s="1"/>
  <c r="Q21" i="2"/>
  <c r="R21" i="2" s="1"/>
  <c r="W21" i="2" s="1"/>
  <c r="AC20" i="2"/>
  <c r="AB20" i="2"/>
  <c r="Y20" i="2"/>
  <c r="Z20" i="2" s="1"/>
  <c r="Q20" i="2"/>
  <c r="R20" i="2" s="1"/>
  <c r="W20" i="2" s="1"/>
  <c r="AF20" i="2" s="1"/>
  <c r="AK20" i="2" s="1"/>
  <c r="AB19" i="2"/>
  <c r="AC19" i="2" s="1"/>
  <c r="Y19" i="2"/>
  <c r="Z19" i="2" s="1"/>
  <c r="Q19" i="2"/>
  <c r="R19" i="2" s="1"/>
  <c r="W19" i="2" s="1"/>
  <c r="AC18" i="2"/>
  <c r="AB18" i="2"/>
  <c r="Y18" i="2"/>
  <c r="Z18" i="2" s="1"/>
  <c r="Q18" i="2"/>
  <c r="R18" i="2" s="1"/>
  <c r="W18" i="2" s="1"/>
  <c r="AF18" i="2" s="1"/>
  <c r="AK18" i="2" s="1"/>
  <c r="AB17" i="2"/>
  <c r="AC17" i="2" s="1"/>
  <c r="Y17" i="2"/>
  <c r="Z17" i="2" s="1"/>
  <c r="Q17" i="2"/>
  <c r="R17" i="2" s="1"/>
  <c r="W17" i="2" s="1"/>
  <c r="AC16" i="2"/>
  <c r="AB16" i="2"/>
  <c r="Y16" i="2"/>
  <c r="Z16" i="2" s="1"/>
  <c r="R16" i="2"/>
  <c r="W16" i="2" s="1"/>
  <c r="AF16" i="2" s="1"/>
  <c r="AK16" i="2" s="1"/>
  <c r="Q16" i="2"/>
  <c r="AB15" i="2"/>
  <c r="AC15" i="2" s="1"/>
  <c r="Y15" i="2"/>
  <c r="Z15" i="2" s="1"/>
  <c r="Q15" i="2"/>
  <c r="R15" i="2" s="1"/>
  <c r="W15" i="2" s="1"/>
  <c r="AF15" i="2" s="1"/>
  <c r="AK15" i="2" s="1"/>
  <c r="AF14" i="2"/>
  <c r="AK14" i="2" s="1"/>
  <c r="AC14" i="2"/>
  <c r="AB14" i="2"/>
  <c r="Y14" i="2"/>
  <c r="Z14" i="2" s="1"/>
  <c r="Q14" i="2"/>
  <c r="R14" i="2" s="1"/>
  <c r="W14" i="2" s="1"/>
  <c r="AB13" i="2"/>
  <c r="AC13" i="2" s="1"/>
  <c r="Y13" i="2"/>
  <c r="Z13" i="2" s="1"/>
  <c r="Q13" i="2"/>
  <c r="R13" i="2" s="1"/>
  <c r="W13" i="2" s="1"/>
  <c r="AC12" i="2"/>
  <c r="AB12" i="2"/>
  <c r="Y12" i="2"/>
  <c r="Z12" i="2" s="1"/>
  <c r="R12" i="2"/>
  <c r="W12" i="2" s="1"/>
  <c r="AF12" i="2" s="1"/>
  <c r="AK12" i="2" s="1"/>
  <c r="Q12" i="2"/>
  <c r="AB11" i="2"/>
  <c r="AC11" i="2" s="1"/>
  <c r="Y11" i="2"/>
  <c r="Z11" i="2" s="1"/>
  <c r="Q11" i="2"/>
  <c r="R11" i="2" s="1"/>
  <c r="W11" i="2" s="1"/>
  <c r="AF11" i="2" s="1"/>
  <c r="AK11" i="2" s="1"/>
  <c r="AC10" i="2"/>
  <c r="AB10" i="2"/>
  <c r="Y10" i="2"/>
  <c r="Z10" i="2" s="1"/>
  <c r="Q10" i="2"/>
  <c r="R10" i="2" s="1"/>
  <c r="W10" i="2" s="1"/>
  <c r="AF10" i="2" s="1"/>
  <c r="AK10" i="2" s="1"/>
  <c r="AB9" i="2"/>
  <c r="AC9" i="2" s="1"/>
  <c r="Y9" i="2"/>
  <c r="Z9" i="2" s="1"/>
  <c r="Q9" i="2"/>
  <c r="R9" i="2" s="1"/>
  <c r="W9" i="2" s="1"/>
  <c r="AC8" i="2"/>
  <c r="AB8" i="2"/>
  <c r="Y8" i="2"/>
  <c r="Z8" i="2" s="1"/>
  <c r="Q8" i="2"/>
  <c r="R8" i="2" s="1"/>
  <c r="W8" i="2" s="1"/>
  <c r="AF8" i="2" s="1"/>
  <c r="AK8" i="2" s="1"/>
  <c r="AB7" i="2"/>
  <c r="AC7" i="2" s="1"/>
  <c r="Y7" i="2"/>
  <c r="Q7" i="2"/>
  <c r="AB40" i="1"/>
  <c r="AC40" i="1" s="1"/>
  <c r="Y40" i="1"/>
  <c r="Z40" i="1" s="1"/>
  <c r="Q40" i="1"/>
  <c r="R40" i="1" s="1"/>
  <c r="W40" i="1" s="1"/>
  <c r="AC39" i="1"/>
  <c r="AB39" i="1"/>
  <c r="Y39" i="1"/>
  <c r="Z39" i="1" s="1"/>
  <c r="Q39" i="1"/>
  <c r="R39" i="1" s="1"/>
  <c r="W39" i="1" s="1"/>
  <c r="AB38" i="1"/>
  <c r="AC38" i="1" s="1"/>
  <c r="Y38" i="1"/>
  <c r="Z38" i="1" s="1"/>
  <c r="Q38" i="1"/>
  <c r="R38" i="1" s="1"/>
  <c r="W38" i="1" s="1"/>
  <c r="AF38" i="1" s="1"/>
  <c r="AK38" i="1" s="1"/>
  <c r="AC37" i="1"/>
  <c r="AB37" i="1"/>
  <c r="Y37" i="1"/>
  <c r="Z37" i="1" s="1"/>
  <c r="Q37" i="1"/>
  <c r="R37" i="1" s="1"/>
  <c r="W37" i="1" s="1"/>
  <c r="AF37" i="1" s="1"/>
  <c r="AK37" i="1" s="1"/>
  <c r="AB36" i="1"/>
  <c r="AC36" i="1" s="1"/>
  <c r="Y36" i="1"/>
  <c r="Z36" i="1" s="1"/>
  <c r="Q36" i="1"/>
  <c r="R36" i="1" s="1"/>
  <c r="W36" i="1" s="1"/>
  <c r="AF36" i="1" s="1"/>
  <c r="AK36" i="1" s="1"/>
  <c r="AC35" i="1"/>
  <c r="AB35" i="1"/>
  <c r="Y35" i="1"/>
  <c r="Z35" i="1" s="1"/>
  <c r="Q35" i="1"/>
  <c r="R35" i="1" s="1"/>
  <c r="W35" i="1" s="1"/>
  <c r="AF35" i="1" s="1"/>
  <c r="AK35" i="1" s="1"/>
  <c r="AB34" i="1"/>
  <c r="AC34" i="1" s="1"/>
  <c r="Y34" i="1"/>
  <c r="Z34" i="1" s="1"/>
  <c r="Q34" i="1"/>
  <c r="R34" i="1" s="1"/>
  <c r="W34" i="1" s="1"/>
  <c r="AF34" i="1" s="1"/>
  <c r="AK34" i="1" s="1"/>
  <c r="AC33" i="1"/>
  <c r="AB33" i="1"/>
  <c r="Y33" i="1"/>
  <c r="Z33" i="1" s="1"/>
  <c r="Q33" i="1"/>
  <c r="R33" i="1" s="1"/>
  <c r="W33" i="1" s="1"/>
  <c r="AF33" i="1" s="1"/>
  <c r="AK33" i="1" s="1"/>
  <c r="AB32" i="1"/>
  <c r="AC32" i="1" s="1"/>
  <c r="Y32" i="1"/>
  <c r="Z32" i="1" s="1"/>
  <c r="Q32" i="1"/>
  <c r="R32" i="1" s="1"/>
  <c r="W32" i="1" s="1"/>
  <c r="AC31" i="1"/>
  <c r="AB31" i="1"/>
  <c r="Y31" i="1"/>
  <c r="Z31" i="1" s="1"/>
  <c r="Q31" i="1"/>
  <c r="R31" i="1" s="1"/>
  <c r="W31" i="1" s="1"/>
  <c r="AF31" i="1" s="1"/>
  <c r="AK31" i="1" s="1"/>
  <c r="AB30" i="1"/>
  <c r="AC30" i="1" s="1"/>
  <c r="Y30" i="1"/>
  <c r="Z30" i="1" s="1"/>
  <c r="Q30" i="1"/>
  <c r="R30" i="1" s="1"/>
  <c r="W30" i="1" s="1"/>
  <c r="AC29" i="1"/>
  <c r="AB29" i="1"/>
  <c r="Y29" i="1"/>
  <c r="Z29" i="1" s="1"/>
  <c r="Q29" i="1"/>
  <c r="R29" i="1" s="1"/>
  <c r="W29" i="1" s="1"/>
  <c r="AF29" i="1" s="1"/>
  <c r="AK29" i="1" s="1"/>
  <c r="AB28" i="1"/>
  <c r="AC28" i="1" s="1"/>
  <c r="Y28" i="1"/>
  <c r="Z28" i="1" s="1"/>
  <c r="Q28" i="1"/>
  <c r="R28" i="1" s="1"/>
  <c r="W28" i="1" s="1"/>
  <c r="AF28" i="1" s="1"/>
  <c r="AK28" i="1" s="1"/>
  <c r="AC27" i="1"/>
  <c r="AB27" i="1"/>
  <c r="Y27" i="1"/>
  <c r="Z27" i="1" s="1"/>
  <c r="Q27" i="1"/>
  <c r="R27" i="1" s="1"/>
  <c r="W27" i="1" s="1"/>
  <c r="AB26" i="1"/>
  <c r="AC26" i="1" s="1"/>
  <c r="Y26" i="1"/>
  <c r="Z26" i="1" s="1"/>
  <c r="Q26" i="1"/>
  <c r="R26" i="1" s="1"/>
  <c r="W26" i="1" s="1"/>
  <c r="AF26" i="1" s="1"/>
  <c r="AK26" i="1" s="1"/>
  <c r="AC25" i="1"/>
  <c r="AB25" i="1"/>
  <c r="Y25" i="1"/>
  <c r="Z25" i="1" s="1"/>
  <c r="Q25" i="1"/>
  <c r="R25" i="1" s="1"/>
  <c r="W25" i="1" s="1"/>
  <c r="AF25" i="1" s="1"/>
  <c r="AK25" i="1" s="1"/>
  <c r="AB24" i="1"/>
  <c r="AC24" i="1" s="1"/>
  <c r="Y24" i="1"/>
  <c r="Z24" i="1" s="1"/>
  <c r="Q24" i="1"/>
  <c r="R24" i="1" s="1"/>
  <c r="W24" i="1" s="1"/>
  <c r="AF24" i="1" s="1"/>
  <c r="AK24" i="1" s="1"/>
  <c r="AC23" i="1"/>
  <c r="AB23" i="1"/>
  <c r="Y23" i="1"/>
  <c r="Z23" i="1" s="1"/>
  <c r="Q23" i="1"/>
  <c r="R23" i="1" s="1"/>
  <c r="W23" i="1" s="1"/>
  <c r="AJ74" i="1"/>
  <c r="AI74" i="1"/>
  <c r="AH74" i="1"/>
  <c r="AG74" i="1"/>
  <c r="AE74" i="1"/>
  <c r="AD74" i="1"/>
  <c r="AA74" i="1"/>
  <c r="X74" i="1"/>
  <c r="V74" i="1"/>
  <c r="U74" i="1"/>
  <c r="T74" i="1"/>
  <c r="S74" i="1"/>
  <c r="P74" i="1"/>
  <c r="O74" i="1"/>
  <c r="N74" i="1"/>
  <c r="M74" i="1"/>
  <c r="L74" i="1"/>
  <c r="K74" i="1"/>
  <c r="J74" i="1"/>
  <c r="I74" i="1"/>
  <c r="G74" i="1"/>
  <c r="AK62" i="1"/>
  <c r="AK61" i="1"/>
  <c r="AK50" i="1"/>
  <c r="AK49" i="1"/>
  <c r="AK20" i="1"/>
  <c r="AK19" i="1"/>
  <c r="AF44" i="1"/>
  <c r="AK44" i="1" s="1"/>
  <c r="AB73" i="1"/>
  <c r="AC73" i="1" s="1"/>
  <c r="AB72" i="1"/>
  <c r="AC72" i="1" s="1"/>
  <c r="AB71" i="1"/>
  <c r="AC71" i="1" s="1"/>
  <c r="AB70" i="1"/>
  <c r="AC70" i="1" s="1"/>
  <c r="AB69" i="1"/>
  <c r="AC69" i="1" s="1"/>
  <c r="AB68" i="1"/>
  <c r="AC68" i="1" s="1"/>
  <c r="AB67" i="1"/>
  <c r="AC67" i="1" s="1"/>
  <c r="AB66" i="1"/>
  <c r="AC66" i="1" s="1"/>
  <c r="AB65" i="1"/>
  <c r="AC65" i="1" s="1"/>
  <c r="AB64" i="1"/>
  <c r="AC64" i="1" s="1"/>
  <c r="AB63" i="1"/>
  <c r="AC63" i="1" s="1"/>
  <c r="AB62" i="1"/>
  <c r="AC62" i="1" s="1"/>
  <c r="AB61" i="1"/>
  <c r="AC61" i="1" s="1"/>
  <c r="AB60" i="1"/>
  <c r="AC60" i="1" s="1"/>
  <c r="AB59" i="1"/>
  <c r="AC59" i="1" s="1"/>
  <c r="AB58" i="1"/>
  <c r="AC58" i="1" s="1"/>
  <c r="AB57" i="1"/>
  <c r="AC57" i="1" s="1"/>
  <c r="AB56" i="1"/>
  <c r="AC56" i="1" s="1"/>
  <c r="AB55" i="1"/>
  <c r="AC55" i="1" s="1"/>
  <c r="AB54" i="1"/>
  <c r="AC54" i="1" s="1"/>
  <c r="AB53" i="1"/>
  <c r="AC53" i="1" s="1"/>
  <c r="AB52" i="1"/>
  <c r="AC52" i="1" s="1"/>
  <c r="AB51" i="1"/>
  <c r="AC51" i="1" s="1"/>
  <c r="AB50" i="1"/>
  <c r="AC50" i="1" s="1"/>
  <c r="AB49" i="1"/>
  <c r="AC49" i="1" s="1"/>
  <c r="AB48" i="1"/>
  <c r="AC48" i="1" s="1"/>
  <c r="AB47" i="1"/>
  <c r="AC47" i="1" s="1"/>
  <c r="AB46" i="1"/>
  <c r="AC46" i="1" s="1"/>
  <c r="AB45" i="1"/>
  <c r="AC45" i="1" s="1"/>
  <c r="AB44" i="1"/>
  <c r="AC44" i="1" s="1"/>
  <c r="AB43" i="1"/>
  <c r="AC43" i="1" s="1"/>
  <c r="AB42" i="1"/>
  <c r="AC42" i="1" s="1"/>
  <c r="AB41" i="1"/>
  <c r="AC41" i="1" s="1"/>
  <c r="AB22" i="1"/>
  <c r="AC22" i="1" s="1"/>
  <c r="AB21" i="1"/>
  <c r="AC21" i="1" s="1"/>
  <c r="AB20" i="1"/>
  <c r="AC20" i="1" s="1"/>
  <c r="AB19" i="1"/>
  <c r="AC19" i="1" s="1"/>
  <c r="AB18" i="1"/>
  <c r="AC18" i="1" s="1"/>
  <c r="AB17" i="1"/>
  <c r="AC17" i="1" s="1"/>
  <c r="AB16" i="1"/>
  <c r="AC16" i="1" s="1"/>
  <c r="AB15" i="1"/>
  <c r="AC15" i="1" s="1"/>
  <c r="AB14" i="1"/>
  <c r="AC14" i="1" s="1"/>
  <c r="AB13" i="1"/>
  <c r="AC13" i="1" s="1"/>
  <c r="AB12" i="1"/>
  <c r="AC12" i="1" s="1"/>
  <c r="AB11" i="1"/>
  <c r="AC11" i="1" s="1"/>
  <c r="AB10" i="1"/>
  <c r="AC10" i="1" s="1"/>
  <c r="AB9" i="1"/>
  <c r="AC9" i="1" s="1"/>
  <c r="AB8" i="1"/>
  <c r="AC8" i="1" s="1"/>
  <c r="Y73" i="1"/>
  <c r="Z73" i="1" s="1"/>
  <c r="Y72" i="1"/>
  <c r="Z72" i="1" s="1"/>
  <c r="Y71" i="1"/>
  <c r="Z71" i="1" s="1"/>
  <c r="Y70" i="1"/>
  <c r="Z70" i="1" s="1"/>
  <c r="Y69" i="1"/>
  <c r="Z69" i="1" s="1"/>
  <c r="W71" i="1"/>
  <c r="AF71" i="1" s="1"/>
  <c r="AK71" i="1" s="1"/>
  <c r="W70" i="1"/>
  <c r="AF70" i="1" s="1"/>
  <c r="AK70" i="1" s="1"/>
  <c r="W69" i="1"/>
  <c r="Q73" i="1"/>
  <c r="R73" i="1" s="1"/>
  <c r="W73" i="1" s="1"/>
  <c r="Q72" i="1"/>
  <c r="R72" i="1" s="1"/>
  <c r="W72" i="1" s="1"/>
  <c r="AF72" i="1" s="1"/>
  <c r="AK72" i="1" s="1"/>
  <c r="Q71" i="1"/>
  <c r="R71" i="1" s="1"/>
  <c r="Q70" i="1"/>
  <c r="R70" i="1" s="1"/>
  <c r="Q69" i="1"/>
  <c r="R69" i="1" s="1"/>
  <c r="Y68" i="1"/>
  <c r="Z68" i="1" s="1"/>
  <c r="Q68" i="1"/>
  <c r="R68" i="1" s="1"/>
  <c r="W68" i="1" s="1"/>
  <c r="Y67" i="1"/>
  <c r="Z67" i="1" s="1"/>
  <c r="Q67" i="1"/>
  <c r="R67" i="1" s="1"/>
  <c r="W67" i="1" s="1"/>
  <c r="AF67" i="1" s="1"/>
  <c r="AK67" i="1" s="1"/>
  <c r="Y66" i="1"/>
  <c r="Z66" i="1" s="1"/>
  <c r="Q66" i="1"/>
  <c r="R66" i="1" s="1"/>
  <c r="W66" i="1" s="1"/>
  <c r="AF66" i="1" s="1"/>
  <c r="AK66" i="1" s="1"/>
  <c r="Y65" i="1"/>
  <c r="Z65" i="1" s="1"/>
  <c r="Q65" i="1"/>
  <c r="R65" i="1" s="1"/>
  <c r="W65" i="1" s="1"/>
  <c r="AF65" i="1" s="1"/>
  <c r="AK65" i="1" s="1"/>
  <c r="Y64" i="1"/>
  <c r="Z64" i="1" s="1"/>
  <c r="Q64" i="1"/>
  <c r="R64" i="1" s="1"/>
  <c r="W64" i="1" s="1"/>
  <c r="Y63" i="1"/>
  <c r="Z63" i="1" s="1"/>
  <c r="Q63" i="1"/>
  <c r="R63" i="1" s="1"/>
  <c r="W63" i="1" s="1"/>
  <c r="Y62" i="1"/>
  <c r="Z62" i="1" s="1"/>
  <c r="AF62" i="1" s="1"/>
  <c r="Q62" i="1"/>
  <c r="R62" i="1" s="1"/>
  <c r="W62" i="1" s="1"/>
  <c r="Y61" i="1"/>
  <c r="Z61" i="1" s="1"/>
  <c r="Q61" i="1"/>
  <c r="R61" i="1" s="1"/>
  <c r="W61" i="1" s="1"/>
  <c r="AF61" i="1" s="1"/>
  <c r="Y60" i="1"/>
  <c r="Z60" i="1" s="1"/>
  <c r="Q60" i="1"/>
  <c r="R60" i="1" s="1"/>
  <c r="W60" i="1" s="1"/>
  <c r="AF60" i="1" s="1"/>
  <c r="AK60" i="1" s="1"/>
  <c r="Y59" i="1"/>
  <c r="Z59" i="1" s="1"/>
  <c r="Q59" i="1"/>
  <c r="R59" i="1" s="1"/>
  <c r="W59" i="1" s="1"/>
  <c r="AF59" i="1" s="1"/>
  <c r="AK59" i="1" s="1"/>
  <c r="Y58" i="1"/>
  <c r="Z58" i="1" s="1"/>
  <c r="Q58" i="1"/>
  <c r="R58" i="1" s="1"/>
  <c r="W58" i="1" s="1"/>
  <c r="Y57" i="1"/>
  <c r="Z57" i="1" s="1"/>
  <c r="Q57" i="1"/>
  <c r="R57" i="1" s="1"/>
  <c r="W57" i="1" s="1"/>
  <c r="AF57" i="1" s="1"/>
  <c r="AK57" i="1" s="1"/>
  <c r="Y56" i="1"/>
  <c r="Z56" i="1" s="1"/>
  <c r="Q56" i="1"/>
  <c r="R56" i="1" s="1"/>
  <c r="W56" i="1" s="1"/>
  <c r="Y55" i="1"/>
  <c r="Z55" i="1" s="1"/>
  <c r="Q55" i="1"/>
  <c r="R55" i="1" s="1"/>
  <c r="W55" i="1" s="1"/>
  <c r="AF55" i="1" s="1"/>
  <c r="AK55" i="1" s="1"/>
  <c r="Y54" i="1"/>
  <c r="Z54" i="1" s="1"/>
  <c r="Q54" i="1"/>
  <c r="R54" i="1" s="1"/>
  <c r="W54" i="1" s="1"/>
  <c r="AF54" i="1" s="1"/>
  <c r="AK54" i="1" s="1"/>
  <c r="Y53" i="1"/>
  <c r="Z53" i="1" s="1"/>
  <c r="Q53" i="1"/>
  <c r="R53" i="1" s="1"/>
  <c r="W53" i="1" s="1"/>
  <c r="AF53" i="1" s="1"/>
  <c r="AK53" i="1" s="1"/>
  <c r="Y52" i="1"/>
  <c r="Z52" i="1" s="1"/>
  <c r="Q52" i="1"/>
  <c r="R52" i="1" s="1"/>
  <c r="W52" i="1" s="1"/>
  <c r="Y51" i="1"/>
  <c r="Z51" i="1" s="1"/>
  <c r="Q51" i="1"/>
  <c r="R51" i="1" s="1"/>
  <c r="W51" i="1" s="1"/>
  <c r="Y50" i="1"/>
  <c r="Z50" i="1" s="1"/>
  <c r="AF50" i="1" s="1"/>
  <c r="Q50" i="1"/>
  <c r="R50" i="1" s="1"/>
  <c r="W50" i="1" s="1"/>
  <c r="Y49" i="1"/>
  <c r="Z49" i="1" s="1"/>
  <c r="Q49" i="1"/>
  <c r="R49" i="1" s="1"/>
  <c r="W49" i="1" s="1"/>
  <c r="AF49" i="1" s="1"/>
  <c r="Y48" i="1"/>
  <c r="Z48" i="1" s="1"/>
  <c r="Q48" i="1"/>
  <c r="R48" i="1" s="1"/>
  <c r="W48" i="1" s="1"/>
  <c r="AF48" i="1" s="1"/>
  <c r="AK48" i="1" s="1"/>
  <c r="Y47" i="1"/>
  <c r="Z47" i="1" s="1"/>
  <c r="Q47" i="1"/>
  <c r="R47" i="1" s="1"/>
  <c r="W47" i="1" s="1"/>
  <c r="AF47" i="1" s="1"/>
  <c r="AK47" i="1" s="1"/>
  <c r="Y46" i="1"/>
  <c r="Z46" i="1" s="1"/>
  <c r="Q46" i="1"/>
  <c r="R46" i="1" s="1"/>
  <c r="W46" i="1" s="1"/>
  <c r="Y45" i="1"/>
  <c r="Z45" i="1" s="1"/>
  <c r="Q45" i="1"/>
  <c r="R45" i="1" s="1"/>
  <c r="W45" i="1" s="1"/>
  <c r="AF45" i="1" s="1"/>
  <c r="AK45" i="1" s="1"/>
  <c r="Y44" i="1"/>
  <c r="Z44" i="1" s="1"/>
  <c r="Q44" i="1"/>
  <c r="R44" i="1" s="1"/>
  <c r="W44" i="1" s="1"/>
  <c r="Y43" i="1"/>
  <c r="Z43" i="1" s="1"/>
  <c r="Q43" i="1"/>
  <c r="R43" i="1" s="1"/>
  <c r="W43" i="1" s="1"/>
  <c r="AF43" i="1" s="1"/>
  <c r="AK43" i="1" s="1"/>
  <c r="Y42" i="1"/>
  <c r="Z42" i="1" s="1"/>
  <c r="Q42" i="1"/>
  <c r="R42" i="1" s="1"/>
  <c r="W42" i="1" s="1"/>
  <c r="AF42" i="1" s="1"/>
  <c r="AK42" i="1" s="1"/>
  <c r="Y41" i="1"/>
  <c r="Z41" i="1" s="1"/>
  <c r="Q41" i="1"/>
  <c r="R41" i="1" s="1"/>
  <c r="W41" i="1" s="1"/>
  <c r="AF41" i="1" s="1"/>
  <c r="AK41" i="1" s="1"/>
  <c r="Y22" i="1"/>
  <c r="Z22" i="1" s="1"/>
  <c r="Q22" i="1"/>
  <c r="R22" i="1" s="1"/>
  <c r="W22" i="1" s="1"/>
  <c r="Y21" i="1"/>
  <c r="Z21" i="1" s="1"/>
  <c r="Q21" i="1"/>
  <c r="R21" i="1" s="1"/>
  <c r="W21" i="1" s="1"/>
  <c r="Y20" i="1"/>
  <c r="Z20" i="1" s="1"/>
  <c r="AF20" i="1" s="1"/>
  <c r="Q20" i="1"/>
  <c r="R20" i="1" s="1"/>
  <c r="W20" i="1" s="1"/>
  <c r="Y19" i="1"/>
  <c r="Z19" i="1" s="1"/>
  <c r="Q19" i="1"/>
  <c r="R19" i="1" s="1"/>
  <c r="W19" i="1" s="1"/>
  <c r="AF19" i="1" s="1"/>
  <c r="Y18" i="1"/>
  <c r="Z18" i="1" s="1"/>
  <c r="Q18" i="1"/>
  <c r="R18" i="1" s="1"/>
  <c r="W18" i="1" s="1"/>
  <c r="AF18" i="1" s="1"/>
  <c r="AK18" i="1" s="1"/>
  <c r="Y17" i="1"/>
  <c r="Z17" i="1" s="1"/>
  <c r="Q17" i="1"/>
  <c r="R17" i="1" s="1"/>
  <c r="W17" i="1" s="1"/>
  <c r="AF17" i="1" s="1"/>
  <c r="AK17" i="1" s="1"/>
  <c r="Y16" i="1"/>
  <c r="Z16" i="1" s="1"/>
  <c r="Q16" i="1"/>
  <c r="R16" i="1" s="1"/>
  <c r="W16" i="1" s="1"/>
  <c r="Y15" i="1"/>
  <c r="Z15" i="1" s="1"/>
  <c r="Q15" i="1"/>
  <c r="R15" i="1" s="1"/>
  <c r="W15" i="1" s="1"/>
  <c r="AF15" i="1" s="1"/>
  <c r="AK15" i="1" s="1"/>
  <c r="Y14" i="1"/>
  <c r="Z14" i="1" s="1"/>
  <c r="Q14" i="1"/>
  <c r="R14" i="1" s="1"/>
  <c r="W14" i="1" s="1"/>
  <c r="AF14" i="1" s="1"/>
  <c r="AK14" i="1" s="1"/>
  <c r="Y13" i="1"/>
  <c r="Z13" i="1" s="1"/>
  <c r="Q13" i="1"/>
  <c r="R13" i="1" s="1"/>
  <c r="W13" i="1" s="1"/>
  <c r="AF13" i="1" s="1"/>
  <c r="AK13" i="1" s="1"/>
  <c r="Y12" i="1"/>
  <c r="Z12" i="1" s="1"/>
  <c r="Q12" i="1"/>
  <c r="R12" i="1" s="1"/>
  <c r="W12" i="1" s="1"/>
  <c r="AF12" i="1" s="1"/>
  <c r="AK12" i="1" s="1"/>
  <c r="Y11" i="1"/>
  <c r="Z11" i="1" s="1"/>
  <c r="Q11" i="1"/>
  <c r="R11" i="1" s="1"/>
  <c r="W11" i="1" s="1"/>
  <c r="Y10" i="1"/>
  <c r="Z10" i="1" s="1"/>
  <c r="Q10" i="1"/>
  <c r="R10" i="1" s="1"/>
  <c r="W10" i="1" s="1"/>
  <c r="Y9" i="1"/>
  <c r="Z9" i="1" s="1"/>
  <c r="Q9" i="1"/>
  <c r="R9" i="1" s="1"/>
  <c r="W9" i="1" s="1"/>
  <c r="Y8" i="1"/>
  <c r="Z8" i="1" s="1"/>
  <c r="Q8" i="1"/>
  <c r="R8" i="1" s="1"/>
  <c r="W8" i="1" s="1"/>
  <c r="AB7" i="1"/>
  <c r="Y7" i="1"/>
  <c r="Q7" i="1"/>
  <c r="R7" i="1" s="1"/>
  <c r="Z74" i="8" l="1"/>
  <c r="AF49" i="8"/>
  <c r="AK49" i="8" s="1"/>
  <c r="AF61" i="8"/>
  <c r="AK61" i="8" s="1"/>
  <c r="AF17" i="8"/>
  <c r="AK17" i="8" s="1"/>
  <c r="AF15" i="8"/>
  <c r="AK15" i="8" s="1"/>
  <c r="AF29" i="8"/>
  <c r="AK29" i="8" s="1"/>
  <c r="AF39" i="8"/>
  <c r="AK39" i="8" s="1"/>
  <c r="AF21" i="8"/>
  <c r="AK21" i="8" s="1"/>
  <c r="AF41" i="8"/>
  <c r="AK41" i="8" s="1"/>
  <c r="AF19" i="8"/>
  <c r="AK19" i="8" s="1"/>
  <c r="AF69" i="8"/>
  <c r="AK69" i="8" s="1"/>
  <c r="AF13" i="8"/>
  <c r="AK13" i="8" s="1"/>
  <c r="AF57" i="8"/>
  <c r="AK57" i="8" s="1"/>
  <c r="AF67" i="8"/>
  <c r="AK67" i="8" s="1"/>
  <c r="AF37" i="8"/>
  <c r="AK37" i="8" s="1"/>
  <c r="Q74" i="8"/>
  <c r="AF65" i="8"/>
  <c r="AK65" i="8" s="1"/>
  <c r="AF7" i="8"/>
  <c r="W74" i="8"/>
  <c r="Y74" i="8"/>
  <c r="AF25" i="8"/>
  <c r="AK25" i="8" s="1"/>
  <c r="AF35" i="8"/>
  <c r="AK35" i="8" s="1"/>
  <c r="AF73" i="8"/>
  <c r="AK73" i="8" s="1"/>
  <c r="AF48" i="8"/>
  <c r="AK48" i="8" s="1"/>
  <c r="AF53" i="8"/>
  <c r="AK53" i="8" s="1"/>
  <c r="AF63" i="8"/>
  <c r="AK63" i="8" s="1"/>
  <c r="AF11" i="8"/>
  <c r="AK11" i="8" s="1"/>
  <c r="AF9" i="8"/>
  <c r="AK9" i="8" s="1"/>
  <c r="AC74" i="8"/>
  <c r="AF33" i="8"/>
  <c r="AK33" i="8" s="1"/>
  <c r="AF43" i="8"/>
  <c r="AK43" i="8" s="1"/>
  <c r="AB74" i="8"/>
  <c r="R74" i="8"/>
  <c r="AF64" i="6"/>
  <c r="AK64" i="6" s="1"/>
  <c r="AF21" i="6"/>
  <c r="AK21" i="6" s="1"/>
  <c r="AF24" i="6"/>
  <c r="AK24" i="6" s="1"/>
  <c r="W7" i="6"/>
  <c r="AC74" i="6"/>
  <c r="AF28" i="6"/>
  <c r="AK28" i="6" s="1"/>
  <c r="AF44" i="6"/>
  <c r="AK44" i="6" s="1"/>
  <c r="AF41" i="6"/>
  <c r="AK41" i="6" s="1"/>
  <c r="AF60" i="6"/>
  <c r="AK60" i="6" s="1"/>
  <c r="R8" i="6"/>
  <c r="W8" i="6" s="1"/>
  <c r="AF8" i="6" s="1"/>
  <c r="AK8" i="6" s="1"/>
  <c r="AB74" i="6"/>
  <c r="Y74" i="6"/>
  <c r="Z7" i="6"/>
  <c r="Z74" i="6" s="1"/>
  <c r="AC74" i="5"/>
  <c r="W7" i="5"/>
  <c r="R74" i="5"/>
  <c r="AF11" i="5"/>
  <c r="AK11" i="5" s="1"/>
  <c r="AF15" i="5"/>
  <c r="AK15" i="5" s="1"/>
  <c r="AF19" i="5"/>
  <c r="AK19" i="5" s="1"/>
  <c r="AF23" i="5"/>
  <c r="AK23" i="5" s="1"/>
  <c r="AF27" i="5"/>
  <c r="AK27" i="5" s="1"/>
  <c r="Y74" i="5"/>
  <c r="Q74" i="5"/>
  <c r="AF8" i="5"/>
  <c r="AK8" i="5" s="1"/>
  <c r="AF12" i="5"/>
  <c r="AK12" i="5" s="1"/>
  <c r="AF16" i="5"/>
  <c r="AK16" i="5" s="1"/>
  <c r="AF20" i="5"/>
  <c r="AK20" i="5" s="1"/>
  <c r="Z7" i="5"/>
  <c r="Z74" i="5" s="1"/>
  <c r="Z74" i="3"/>
  <c r="AC74" i="3"/>
  <c r="W7" i="3"/>
  <c r="AF53" i="3"/>
  <c r="AK53" i="3" s="1"/>
  <c r="AF15" i="3"/>
  <c r="AK15" i="3" s="1"/>
  <c r="AF63" i="3"/>
  <c r="AK63" i="3" s="1"/>
  <c r="AB74" i="3"/>
  <c r="R8" i="3"/>
  <c r="W8" i="3" s="1"/>
  <c r="AF8" i="3" s="1"/>
  <c r="AK8" i="3" s="1"/>
  <c r="AF19" i="3"/>
  <c r="AK19" i="3" s="1"/>
  <c r="AF43" i="3"/>
  <c r="AK43" i="3" s="1"/>
  <c r="AF67" i="3"/>
  <c r="AK67" i="3" s="1"/>
  <c r="AF73" i="3"/>
  <c r="AK73" i="3" s="1"/>
  <c r="AF41" i="3"/>
  <c r="AK41" i="3" s="1"/>
  <c r="AF65" i="3"/>
  <c r="AK65" i="3" s="1"/>
  <c r="AF47" i="3"/>
  <c r="AK47" i="3" s="1"/>
  <c r="AF11" i="3"/>
  <c r="AK11" i="3" s="1"/>
  <c r="AF35" i="3"/>
  <c r="AK35" i="3" s="1"/>
  <c r="AF27" i="3"/>
  <c r="AK27" i="3" s="1"/>
  <c r="AF51" i="3"/>
  <c r="AK51" i="3" s="1"/>
  <c r="Y74" i="3"/>
  <c r="AF17" i="3"/>
  <c r="AK17" i="3" s="1"/>
  <c r="AF71" i="3"/>
  <c r="AK71" i="3" s="1"/>
  <c r="AF25" i="3"/>
  <c r="AK25" i="3" s="1"/>
  <c r="AF49" i="3"/>
  <c r="AK49" i="3" s="1"/>
  <c r="AF29" i="3"/>
  <c r="AK29" i="3" s="1"/>
  <c r="AF59" i="3"/>
  <c r="AK59" i="3" s="1"/>
  <c r="AF39" i="3"/>
  <c r="AK39" i="3" s="1"/>
  <c r="AF31" i="3"/>
  <c r="AK31" i="3" s="1"/>
  <c r="AF55" i="3"/>
  <c r="AK55" i="3" s="1"/>
  <c r="AC74" i="2"/>
  <c r="AF69" i="2"/>
  <c r="AK69" i="2" s="1"/>
  <c r="AF13" i="2"/>
  <c r="AK13" i="2" s="1"/>
  <c r="AF25" i="2"/>
  <c r="AK25" i="2" s="1"/>
  <c r="AF37" i="2"/>
  <c r="AK37" i="2" s="1"/>
  <c r="AF49" i="2"/>
  <c r="AK49" i="2" s="1"/>
  <c r="AF57" i="2"/>
  <c r="AK57" i="2" s="1"/>
  <c r="AF67" i="2"/>
  <c r="AK67" i="2" s="1"/>
  <c r="AB74" i="2"/>
  <c r="AF61" i="2"/>
  <c r="AK61" i="2" s="1"/>
  <c r="AF9" i="2"/>
  <c r="AK9" i="2" s="1"/>
  <c r="AF21" i="2"/>
  <c r="AK21" i="2" s="1"/>
  <c r="AF33" i="2"/>
  <c r="AK33" i="2" s="1"/>
  <c r="AF45" i="2"/>
  <c r="AK45" i="2" s="1"/>
  <c r="AF65" i="2"/>
  <c r="AK65" i="2" s="1"/>
  <c r="AF55" i="2"/>
  <c r="AK55" i="2" s="1"/>
  <c r="AF73" i="2"/>
  <c r="AK73" i="2" s="1"/>
  <c r="Q74" i="2"/>
  <c r="R7" i="2"/>
  <c r="AF19" i="2"/>
  <c r="AK19" i="2" s="1"/>
  <c r="AF31" i="2"/>
  <c r="AK31" i="2" s="1"/>
  <c r="AF43" i="2"/>
  <c r="AK43" i="2" s="1"/>
  <c r="AF53" i="2"/>
  <c r="AK53" i="2" s="1"/>
  <c r="AF63" i="2"/>
  <c r="AK63" i="2" s="1"/>
  <c r="Y74" i="2"/>
  <c r="AF17" i="2"/>
  <c r="AK17" i="2" s="1"/>
  <c r="AF29" i="2"/>
  <c r="AK29" i="2" s="1"/>
  <c r="AF41" i="2"/>
  <c r="AK41" i="2" s="1"/>
  <c r="Z7" i="2"/>
  <c r="Z74" i="2" s="1"/>
  <c r="AF32" i="1"/>
  <c r="AK32" i="1" s="1"/>
  <c r="AF39" i="1"/>
  <c r="AK39" i="1" s="1"/>
  <c r="AF23" i="1"/>
  <c r="AK23" i="1" s="1"/>
  <c r="AF40" i="1"/>
  <c r="AK40" i="1" s="1"/>
  <c r="AF30" i="1"/>
  <c r="AK30" i="1" s="1"/>
  <c r="AF27" i="1"/>
  <c r="AK27" i="1" s="1"/>
  <c r="R74" i="1"/>
  <c r="Y74" i="1"/>
  <c r="AF73" i="1"/>
  <c r="AK73" i="1" s="1"/>
  <c r="AB74" i="1"/>
  <c r="Q74" i="1"/>
  <c r="AF69" i="1"/>
  <c r="AK69" i="1" s="1"/>
  <c r="AF8" i="1"/>
  <c r="AK8" i="1" s="1"/>
  <c r="AF56" i="1"/>
  <c r="AK56" i="1" s="1"/>
  <c r="AF68" i="1"/>
  <c r="AK68" i="1" s="1"/>
  <c r="AF21" i="1"/>
  <c r="AK21" i="1" s="1"/>
  <c r="AF51" i="1"/>
  <c r="AK51" i="1" s="1"/>
  <c r="AF9" i="1"/>
  <c r="AK9" i="1" s="1"/>
  <c r="AF63" i="1"/>
  <c r="AK63" i="1" s="1"/>
  <c r="AF11" i="1"/>
  <c r="AK11" i="1" s="1"/>
  <c r="AF10" i="1"/>
  <c r="AK10" i="1" s="1"/>
  <c r="AF16" i="1"/>
  <c r="AK16" i="1" s="1"/>
  <c r="AF22" i="1"/>
  <c r="AK22" i="1" s="1"/>
  <c r="AF46" i="1"/>
  <c r="AK46" i="1" s="1"/>
  <c r="AF52" i="1"/>
  <c r="AK52" i="1" s="1"/>
  <c r="AF58" i="1"/>
  <c r="AK58" i="1" s="1"/>
  <c r="AF64" i="1"/>
  <c r="AK64" i="1" s="1"/>
  <c r="W7" i="1"/>
  <c r="W74" i="1" s="1"/>
  <c r="AC7" i="1"/>
  <c r="AC74" i="1" s="1"/>
  <c r="Z7" i="1"/>
  <c r="Z74" i="1" s="1"/>
  <c r="AK7" i="8" l="1"/>
  <c r="AK74" i="8" s="1"/>
  <c r="AF74" i="8"/>
  <c r="R74" i="6"/>
  <c r="AF7" i="6"/>
  <c r="W74" i="6"/>
  <c r="AF7" i="5"/>
  <c r="W74" i="5"/>
  <c r="R74" i="3"/>
  <c r="AF7" i="3"/>
  <c r="W74" i="3"/>
  <c r="R74" i="2"/>
  <c r="W7" i="2"/>
  <c r="AF7" i="1"/>
  <c r="AF74" i="1" s="1"/>
  <c r="AK7" i="6" l="1"/>
  <c r="AK74" i="6" s="1"/>
  <c r="AF74" i="6"/>
  <c r="AK7" i="5"/>
  <c r="AK74" i="5" s="1"/>
  <c r="AF74" i="5"/>
  <c r="AK7" i="3"/>
  <c r="AK74" i="3" s="1"/>
  <c r="AF74" i="3"/>
  <c r="AF7" i="2"/>
  <c r="W74" i="2"/>
  <c r="AK7" i="1"/>
  <c r="AK74" i="1" s="1"/>
  <c r="AK7" i="2" l="1"/>
  <c r="AK74" i="2" s="1"/>
  <c r="AF74" i="2"/>
</calcChain>
</file>

<file path=xl/sharedStrings.xml><?xml version="1.0" encoding="utf-8"?>
<sst xmlns="http://schemas.openxmlformats.org/spreadsheetml/2006/main" count="384" uniqueCount="60">
  <si>
    <t xml:space="preserve"> page totals-done 3/4/25</t>
  </si>
  <si>
    <t xml:space="preserve"> </t>
  </si>
  <si>
    <t>check  honorarium/absent no honorarium</t>
  </si>
  <si>
    <t>record personnel payroll</t>
  </si>
  <si>
    <t>post loan releases/cash payments</t>
  </si>
  <si>
    <t>unded delete CBU/TFEA</t>
  </si>
  <si>
    <t>check due dates</t>
  </si>
  <si>
    <t>check CBU column</t>
  </si>
  <si>
    <t>unded,absent(no honorarium)-delete SECURED</t>
  </si>
  <si>
    <t>SUMMARY OF ACCOUNT FOR DEDUCTION FOR THE MONTH OF:</t>
  </si>
  <si>
    <t xml:space="preserve">                                                                               </t>
  </si>
  <si>
    <t>JULY'2026</t>
  </si>
  <si>
    <t>NAMES</t>
  </si>
  <si>
    <t xml:space="preserve">LBP   Due  Date </t>
  </si>
  <si>
    <t xml:space="preserve">LBP             </t>
  </si>
  <si>
    <t>SL</t>
  </si>
  <si>
    <t>EL</t>
  </si>
  <si>
    <t>E L</t>
  </si>
  <si>
    <t>Appliance Loan</t>
  </si>
  <si>
    <t>Appliance</t>
  </si>
  <si>
    <t>Ed. L</t>
  </si>
  <si>
    <t>Educ'l</t>
  </si>
  <si>
    <t>G-mar Capital</t>
  </si>
  <si>
    <t>2% Interest</t>
  </si>
  <si>
    <t xml:space="preserve"> G'Mar TOTAL</t>
  </si>
  <si>
    <t>Canteen</t>
  </si>
  <si>
    <t>WRS</t>
  </si>
  <si>
    <t>TFEA</t>
  </si>
  <si>
    <t>CBU/S</t>
  </si>
  <si>
    <t>Total</t>
  </si>
  <si>
    <t>Previous Balance</t>
  </si>
  <si>
    <t>2%    Interest</t>
  </si>
  <si>
    <t>Total Prev. Bal.</t>
  </si>
  <si>
    <t>Petty Cash</t>
  </si>
  <si>
    <t>2.5%    Interest</t>
  </si>
  <si>
    <t>Petty Cash Total</t>
  </si>
  <si>
    <t>Provident loan</t>
  </si>
  <si>
    <t>Secured</t>
  </si>
  <si>
    <t>TOTAL</t>
  </si>
  <si>
    <t>Cash Payment</t>
  </si>
  <si>
    <t xml:space="preserve">Honorarium </t>
  </si>
  <si>
    <t>Actual</t>
  </si>
  <si>
    <t>over</t>
  </si>
  <si>
    <t>Balances</t>
  </si>
  <si>
    <t>Amort.</t>
  </si>
  <si>
    <t>Due Date</t>
  </si>
  <si>
    <t>Due date</t>
  </si>
  <si>
    <t>Deduction</t>
  </si>
  <si>
    <t>Savings</t>
  </si>
  <si>
    <t>payment</t>
  </si>
  <si>
    <t>REGULAR MEMBERS CAPTURE</t>
  </si>
  <si>
    <t>Sept'24-Aug'27</t>
  </si>
  <si>
    <t>Sept'24-Aug'29</t>
  </si>
  <si>
    <t>Sept'23-Jul'28</t>
  </si>
  <si>
    <t>p1</t>
  </si>
  <si>
    <t>REGULAR MEMBERS NON CAPTURE</t>
  </si>
  <si>
    <t>RETIREES</t>
  </si>
  <si>
    <t>COMMUNITY A MEMBERS</t>
  </si>
  <si>
    <t>COMMUNITY B MEMBERS</t>
  </si>
  <si>
    <t>REGULAR MEMBERS LGU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</si>
</sst>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;[Red]0.00"/>
    <numFmt numFmtId="165" formatCode="0_);\(0\)"/>
    <numFmt numFmtId="166" formatCode="#,##0.00;[Red]#,##0.00"/>
    <numFmt numFmtId="167" formatCode="_(* #,##0.00_);_(* \(#,##0.00\);_(* &quot;-&quot;??_);_(@_)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Arial"/>
      <family val="2"/>
    </font>
    <font>
      <sz val="8"/>
      <color theme="1"/>
      <name val="Calibri"/>
      <family val="2"/>
      <scheme val="minor"/>
    </font>
    <font>
      <b/>
      <sz val="8"/>
      <name val="Calibri"/>
      <family val="2"/>
      <scheme val="minor"/>
    </font>
    <font>
      <sz val="8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indexed="8"/>
      <name val="Arial"/>
      <family val="2"/>
    </font>
    <font>
      <sz val="8"/>
      <color indexed="8"/>
      <name val="Arial"/>
      <family val="2"/>
    </font>
    <font>
      <i/>
      <sz val="8"/>
      <color indexed="8"/>
      <name val="Arial"/>
      <family val="2"/>
    </font>
    <font>
      <b/>
      <sz val="9"/>
      <color indexed="8"/>
      <name val="Arial"/>
      <family val="2"/>
    </font>
    <font>
      <sz val="8"/>
      <name val="Arial"/>
      <family val="2"/>
    </font>
    <font>
      <u/>
      <sz val="8"/>
      <name val="Arial"/>
      <family val="2"/>
    </font>
    <font>
      <u/>
      <sz val="8"/>
      <name val="Arial Narrow"/>
      <family val="2"/>
    </font>
    <font>
      <sz val="8"/>
      <color rgb="FF000000"/>
      <name val="Arial"/>
      <family val="2"/>
    </font>
    <font>
      <sz val="9"/>
      <color indexed="8"/>
      <name val="Arial"/>
      <family val="2"/>
    </font>
    <font>
      <u/>
      <sz val="9"/>
      <name val="Arial"/>
      <family val="2"/>
    </font>
    <font>
      <sz val="9"/>
      <name val="Arial"/>
      <family val="2"/>
    </font>
    <font>
      <sz val="9"/>
      <color theme="1"/>
      <name val="Arial"/>
      <family val="2"/>
    </font>
    <font>
      <sz val="9"/>
      <color theme="1" tint="4.9989318521683403E-2"/>
      <name val="Arial"/>
      <family val="2"/>
    </font>
    <font>
      <b/>
      <sz val="9"/>
      <color rgb="FFFF0000"/>
      <name val="Arial"/>
      <family val="2"/>
    </font>
    <font>
      <b/>
      <sz val="9"/>
      <name val="Arial"/>
      <family val="2"/>
    </font>
    <font>
      <b/>
      <sz val="8"/>
      <color rgb="FFFF0000"/>
      <name val="Arial"/>
      <family val="2"/>
    </font>
    <font>
      <sz val="11"/>
      <color theme="1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FF66C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EB2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E6FD75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167" fontId="1" fillId="0" borderId="0" applyFont="0" applyFill="0" applyBorder="0" applyAlignment="0" applyProtection="0"/>
    <xf numFmtId="0" fontId="25" fillId="0" borderId="0"/>
    <xf numFmtId="0" fontId="1" fillId="0" borderId="0"/>
  </cellStyleXfs>
  <cellXfs count="121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3" fillId="0" borderId="0" xfId="0" applyFont="1"/>
    <xf numFmtId="2" fontId="4" fillId="0" borderId="0" xfId="0" applyNumberFormat="1" applyFont="1"/>
    <xf numFmtId="2" fontId="4" fillId="0" borderId="0" xfId="0" applyNumberFormat="1" applyFont="1" applyAlignment="1">
      <alignment horizontal="left"/>
    </xf>
    <xf numFmtId="2" fontId="0" fillId="0" borderId="0" xfId="0" applyNumberFormat="1"/>
    <xf numFmtId="0" fontId="5" fillId="0" borderId="0" xfId="0" applyFont="1" applyAlignment="1">
      <alignment horizontal="center"/>
    </xf>
    <xf numFmtId="0" fontId="6" fillId="0" borderId="0" xfId="0" applyFont="1"/>
    <xf numFmtId="0" fontId="7" fillId="2" borderId="0" xfId="0" applyFont="1" applyFill="1"/>
    <xf numFmtId="0" fontId="6" fillId="2" borderId="0" xfId="0" applyFont="1" applyFill="1"/>
    <xf numFmtId="0" fontId="6" fillId="3" borderId="0" xfId="0" applyFont="1" applyFill="1" applyAlignment="1">
      <alignment horizontal="center"/>
    </xf>
    <xf numFmtId="0" fontId="5" fillId="0" borderId="0" xfId="0" applyFont="1" applyAlignment="1">
      <alignment horizontal="right"/>
    </xf>
    <xf numFmtId="0" fontId="6" fillId="3" borderId="0" xfId="0" applyFont="1" applyFill="1"/>
    <xf numFmtId="0" fontId="6" fillId="4" borderId="0" xfId="0" applyFont="1" applyFill="1"/>
    <xf numFmtId="0" fontId="0" fillId="4" borderId="0" xfId="0" applyFill="1"/>
    <xf numFmtId="0" fontId="0" fillId="4" borderId="0" xfId="0" applyFill="1" applyAlignment="1">
      <alignment horizontal="right"/>
    </xf>
    <xf numFmtId="0" fontId="2" fillId="4" borderId="0" xfId="0" applyFont="1" applyFill="1" applyAlignment="1">
      <alignment horizontal="right"/>
    </xf>
    <xf numFmtId="0" fontId="8" fillId="5" borderId="0" xfId="0" applyFont="1" applyFill="1" applyAlignment="1">
      <alignment horizontal="center"/>
    </xf>
    <xf numFmtId="0" fontId="2" fillId="5" borderId="0" xfId="0" applyFont="1" applyFill="1"/>
    <xf numFmtId="0" fontId="8" fillId="6" borderId="0" xfId="0" applyFont="1" applyFill="1"/>
    <xf numFmtId="0" fontId="2" fillId="6" borderId="0" xfId="0" applyFont="1" applyFill="1"/>
    <xf numFmtId="0" fontId="8" fillId="7" borderId="0" xfId="0" applyFont="1" applyFill="1"/>
    <xf numFmtId="0" fontId="7" fillId="7" borderId="0" xfId="0" applyFont="1" applyFill="1"/>
    <xf numFmtId="0" fontId="7" fillId="8" borderId="0" xfId="0" applyFont="1" applyFill="1"/>
    <xf numFmtId="0" fontId="5" fillId="8" borderId="0" xfId="0" applyFont="1" applyFill="1"/>
    <xf numFmtId="0" fontId="5" fillId="0" borderId="0" xfId="0" applyFont="1"/>
    <xf numFmtId="0" fontId="5" fillId="9" borderId="0" xfId="0" applyFont="1" applyFill="1"/>
    <xf numFmtId="0" fontId="8" fillId="9" borderId="0" xfId="0" applyFont="1" applyFill="1"/>
    <xf numFmtId="0" fontId="8" fillId="0" borderId="0" xfId="0" applyFont="1"/>
    <xf numFmtId="0" fontId="8" fillId="10" borderId="0" xfId="0" applyFont="1" applyFill="1"/>
    <xf numFmtId="0" fontId="5" fillId="10" borderId="0" xfId="0" applyFont="1" applyFill="1"/>
    <xf numFmtId="0" fontId="9" fillId="0" borderId="1" xfId="0" applyFont="1" applyBorder="1" applyAlignment="1">
      <alignment horizontal="center"/>
    </xf>
    <xf numFmtId="0" fontId="9" fillId="0" borderId="1" xfId="0" applyFont="1" applyBorder="1" applyAlignment="1">
      <alignment horizontal="left"/>
    </xf>
    <xf numFmtId="0" fontId="10" fillId="0" borderId="1" xfId="0" applyFont="1" applyBorder="1" applyAlignment="1">
      <alignment horizontal="center"/>
    </xf>
    <xf numFmtId="164" fontId="9" fillId="0" borderId="1" xfId="0" applyNumberFormat="1" applyFont="1" applyBorder="1" applyAlignment="1">
      <alignment horizontal="center"/>
    </xf>
    <xf numFmtId="164" fontId="9" fillId="0" borderId="1" xfId="0" applyNumberFormat="1" applyFont="1" applyBorder="1"/>
    <xf numFmtId="164" fontId="10" fillId="0" borderId="1" xfId="0" applyNumberFormat="1" applyFont="1" applyBorder="1" applyAlignment="1">
      <alignment horizontal="right"/>
    </xf>
    <xf numFmtId="164" fontId="10" fillId="0" borderId="1" xfId="0" applyNumberFormat="1" applyFont="1" applyBorder="1" applyAlignment="1">
      <alignment horizontal="left"/>
    </xf>
    <xf numFmtId="0" fontId="10" fillId="0" borderId="1" xfId="0" applyFont="1" applyBorder="1" applyAlignment="1">
      <alignment horizontal="right"/>
    </xf>
    <xf numFmtId="164" fontId="10" fillId="0" borderId="1" xfId="0" applyNumberFormat="1" applyFont="1" applyBorder="1" applyAlignment="1">
      <alignment horizontal="center"/>
    </xf>
    <xf numFmtId="0" fontId="0" fillId="0" borderId="1" xfId="0" applyBorder="1"/>
    <xf numFmtId="164" fontId="11" fillId="0" borderId="1" xfId="0" applyNumberFormat="1" applyFont="1" applyBorder="1" applyAlignment="1">
      <alignment horizontal="right"/>
    </xf>
    <xf numFmtId="49" fontId="10" fillId="0" borderId="1" xfId="0" applyNumberFormat="1" applyFont="1" applyBorder="1"/>
    <xf numFmtId="49" fontId="10" fillId="0" borderId="1" xfId="0" applyNumberFormat="1" applyFont="1" applyBorder="1" applyAlignment="1">
      <alignment horizontal="right"/>
    </xf>
    <xf numFmtId="0" fontId="5" fillId="0" borderId="1" xfId="0" applyFont="1" applyBorder="1" applyAlignment="1">
      <alignment horizontal="right"/>
    </xf>
    <xf numFmtId="17" fontId="9" fillId="0" borderId="2" xfId="0" applyNumberFormat="1" applyFont="1" applyBorder="1" applyAlignment="1">
      <alignment horizontal="center"/>
    </xf>
    <xf numFmtId="0" fontId="10" fillId="0" borderId="0" xfId="0" applyFont="1" applyAlignment="1">
      <alignment horizontal="left"/>
    </xf>
    <xf numFmtId="164" fontId="9" fillId="5" borderId="1" xfId="0" applyNumberFormat="1" applyFont="1" applyFill="1" applyBorder="1" applyAlignment="1">
      <alignment horizontal="center" vertical="center" wrapText="1"/>
    </xf>
    <xf numFmtId="164" fontId="10" fillId="0" borderId="1" xfId="0" applyNumberFormat="1" applyFont="1" applyBorder="1" applyAlignment="1">
      <alignment horizontal="center" vertical="center" wrapText="1"/>
    </xf>
    <xf numFmtId="2" fontId="4" fillId="0" borderId="1" xfId="0" applyNumberFormat="1" applyFont="1" applyBorder="1" applyAlignment="1">
      <alignment horizontal="center"/>
    </xf>
    <xf numFmtId="164" fontId="16" fillId="0" borderId="1" xfId="0" applyNumberFormat="1" applyFont="1" applyBorder="1" applyAlignment="1">
      <alignment horizontal="center" vertical="center" wrapText="1"/>
    </xf>
    <xf numFmtId="2" fontId="4" fillId="0" borderId="1" xfId="0" applyNumberFormat="1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164" fontId="17" fillId="0" borderId="4" xfId="0" applyNumberFormat="1" applyFont="1" applyBorder="1" applyAlignment="1">
      <alignment horizontal="center" vertical="center" wrapText="1"/>
    </xf>
    <xf numFmtId="4" fontId="18" fillId="0" borderId="4" xfId="0" applyNumberFormat="1" applyFont="1" applyBorder="1" applyAlignment="1">
      <alignment horizontal="center" vertical="center" wrapText="1"/>
    </xf>
    <xf numFmtId="4" fontId="18" fillId="0" borderId="4" xfId="0" applyNumberFormat="1" applyFont="1" applyBorder="1" applyAlignment="1">
      <alignment horizontal="center"/>
    </xf>
    <xf numFmtId="4" fontId="18" fillId="0" borderId="4" xfId="0" applyNumberFormat="1" applyFont="1" applyBorder="1" applyAlignment="1">
      <alignment horizontal="center" vertical="center"/>
    </xf>
    <xf numFmtId="4" fontId="17" fillId="0" borderId="4" xfId="0" applyNumberFormat="1" applyFont="1" applyBorder="1" applyAlignment="1">
      <alignment horizontal="center" vertical="center" wrapText="1"/>
    </xf>
    <xf numFmtId="2" fontId="17" fillId="0" borderId="4" xfId="0" applyNumberFormat="1" applyFont="1" applyBorder="1" applyAlignment="1">
      <alignment horizontal="center" vertical="center" wrapText="1"/>
    </xf>
    <xf numFmtId="2" fontId="4" fillId="0" borderId="4" xfId="0" applyNumberFormat="1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164" fontId="17" fillId="0" borderId="5" xfId="0" applyNumberFormat="1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/>
    </xf>
    <xf numFmtId="165" fontId="17" fillId="0" borderId="6" xfId="0" quotePrefix="1" applyNumberFormat="1" applyFont="1" applyBorder="1" applyAlignment="1">
      <alignment horizontal="center"/>
    </xf>
    <xf numFmtId="4" fontId="17" fillId="0" borderId="1" xfId="0" applyNumberFormat="1" applyFont="1" applyBorder="1" applyAlignment="1">
      <alignment horizontal="right"/>
    </xf>
    <xf numFmtId="2" fontId="17" fillId="0" borderId="1" xfId="0" applyNumberFormat="1" applyFont="1" applyBorder="1" applyAlignment="1">
      <alignment horizontal="right"/>
    </xf>
    <xf numFmtId="164" fontId="19" fillId="0" borderId="1" xfId="0" applyNumberFormat="1" applyFont="1" applyBorder="1" applyAlignment="1">
      <alignment horizontal="right"/>
    </xf>
    <xf numFmtId="166" fontId="17" fillId="0" borderId="1" xfId="0" applyNumberFormat="1" applyFont="1" applyBorder="1" applyAlignment="1">
      <alignment horizontal="right"/>
    </xf>
    <xf numFmtId="166" fontId="21" fillId="0" borderId="2" xfId="0" applyNumberFormat="1" applyFont="1" applyBorder="1"/>
    <xf numFmtId="165" fontId="17" fillId="0" borderId="1" xfId="0" quotePrefix="1" applyNumberFormat="1" applyFont="1" applyBorder="1" applyAlignment="1">
      <alignment horizontal="center"/>
    </xf>
    <xf numFmtId="2" fontId="19" fillId="0" borderId="1" xfId="0" applyNumberFormat="1" applyFont="1" applyBorder="1" applyAlignment="1">
      <alignment horizontal="right"/>
    </xf>
    <xf numFmtId="4" fontId="20" fillId="0" borderId="1" xfId="0" applyNumberFormat="1" applyFont="1" applyBorder="1" applyAlignment="1">
      <alignment horizontal="right"/>
    </xf>
    <xf numFmtId="0" fontId="0" fillId="7" borderId="0" xfId="0" applyFill="1"/>
    <xf numFmtId="0" fontId="0" fillId="8" borderId="0" xfId="0" applyFill="1"/>
    <xf numFmtId="165" fontId="22" fillId="0" borderId="7" xfId="0" applyNumberFormat="1" applyFont="1" applyBorder="1" applyAlignment="1">
      <alignment horizontal="center"/>
    </xf>
    <xf numFmtId="0" fontId="12" fillId="0" borderId="8" xfId="0" applyFont="1" applyBorder="1" applyAlignment="1">
      <alignment horizontal="left"/>
    </xf>
    <xf numFmtId="0" fontId="17" fillId="0" borderId="9" xfId="0" applyFont="1" applyBorder="1" applyAlignment="1">
      <alignment horizontal="center"/>
    </xf>
    <xf numFmtId="0" fontId="17" fillId="0" borderId="8" xfId="0" applyFont="1" applyBorder="1" applyAlignment="1">
      <alignment horizontal="center"/>
    </xf>
    <xf numFmtId="164" fontId="17" fillId="0" borderId="8" xfId="0" applyNumberFormat="1" applyFont="1" applyBorder="1"/>
    <xf numFmtId="4" fontId="12" fillId="0" borderId="8" xfId="0" applyNumberFormat="1" applyFont="1" applyBorder="1" applyAlignment="1">
      <alignment horizontal="right"/>
    </xf>
    <xf numFmtId="165" fontId="22" fillId="0" borderId="1" xfId="0" applyNumberFormat="1" applyFont="1" applyBorder="1" applyAlignment="1">
      <alignment horizontal="center"/>
    </xf>
    <xf numFmtId="165" fontId="24" fillId="0" borderId="0" xfId="0" applyNumberFormat="1" applyFont="1" applyAlignment="1">
      <alignment horizontal="left"/>
    </xf>
    <xf numFmtId="164" fontId="4" fillId="0" borderId="0" xfId="0" applyNumberFormat="1" applyFont="1" applyAlignment="1">
      <alignment horizontal="right"/>
    </xf>
    <xf numFmtId="164" fontId="17" fillId="12" borderId="1" xfId="0" applyNumberFormat="1" applyFont="1" applyFill="1" applyBorder="1"/>
    <xf numFmtId="4" fontId="17" fillId="12" borderId="1" xfId="0" applyNumberFormat="1" applyFont="1" applyFill="1" applyBorder="1" applyAlignment="1">
      <alignment horizontal="right"/>
    </xf>
    <xf numFmtId="4" fontId="20" fillId="12" borderId="1" xfId="0" applyNumberFormat="1" applyFont="1" applyFill="1" applyBorder="1"/>
    <xf numFmtId="164" fontId="17" fillId="12" borderId="1" xfId="0" applyNumberFormat="1" applyFont="1" applyFill="1" applyBorder="1" applyAlignment="1">
      <alignment horizontal="left"/>
    </xf>
    <xf numFmtId="4" fontId="19" fillId="12" borderId="1" xfId="0" applyNumberFormat="1" applyFont="1" applyFill="1" applyBorder="1" applyAlignment="1">
      <alignment horizontal="right"/>
    </xf>
    <xf numFmtId="164" fontId="19" fillId="12" borderId="1" xfId="0" applyNumberFormat="1" applyFont="1" applyFill="1" applyBorder="1" applyAlignment="1">
      <alignment horizontal="left"/>
    </xf>
    <xf numFmtId="164" fontId="12" fillId="12" borderId="1" xfId="0" applyNumberFormat="1" applyFont="1" applyFill="1" applyBorder="1" applyAlignment="1">
      <alignment horizontal="left"/>
    </xf>
    <xf numFmtId="164" fontId="22" fillId="12" borderId="1" xfId="0" applyNumberFormat="1" applyFont="1" applyFill="1" applyBorder="1"/>
    <xf numFmtId="164" fontId="17" fillId="12" borderId="1" xfId="0" applyNumberFormat="1" applyFont="1" applyFill="1" applyBorder="1" applyAlignment="1">
      <alignment horizontal="center"/>
    </xf>
    <xf numFmtId="164" fontId="23" fillId="12" borderId="1" xfId="0" applyNumberFormat="1" applyFont="1" applyFill="1" applyBorder="1"/>
    <xf numFmtId="164" fontId="17" fillId="12" borderId="11" xfId="0" applyNumberFormat="1" applyFont="1" applyFill="1" applyBorder="1"/>
    <xf numFmtId="2" fontId="20" fillId="7" borderId="1" xfId="0" applyNumberFormat="1" applyFont="1" applyFill="1" applyBorder="1"/>
    <xf numFmtId="2" fontId="17" fillId="7" borderId="1" xfId="0" applyNumberFormat="1" applyFont="1" applyFill="1" applyBorder="1" applyAlignment="1">
      <alignment horizontal="right"/>
    </xf>
    <xf numFmtId="164" fontId="21" fillId="7" borderId="1" xfId="0" applyNumberFormat="1" applyFont="1" applyFill="1" applyBorder="1"/>
    <xf numFmtId="164" fontId="17" fillId="7" borderId="1" xfId="0" applyNumberFormat="1" applyFont="1" applyFill="1" applyBorder="1"/>
    <xf numFmtId="2" fontId="20" fillId="7" borderId="1" xfId="0" applyNumberFormat="1" applyFont="1" applyFill="1" applyBorder="1" applyAlignment="1">
      <alignment horizontal="right"/>
    </xf>
    <xf numFmtId="2" fontId="19" fillId="7" borderId="1" xfId="0" applyNumberFormat="1" applyFont="1" applyFill="1" applyBorder="1" applyAlignment="1">
      <alignment horizontal="right"/>
    </xf>
    <xf numFmtId="4" fontId="20" fillId="7" borderId="1" xfId="0" applyNumberFormat="1" applyFont="1" applyFill="1" applyBorder="1"/>
    <xf numFmtId="164" fontId="13" fillId="0" borderId="1" xfId="0" applyNumberFormat="1" applyFont="1" applyBorder="1" applyAlignment="1">
      <alignment horizontal="center" wrapText="1"/>
    </xf>
    <xf numFmtId="164" fontId="14" fillId="0" borderId="1" xfId="0" applyNumberFormat="1" applyFont="1" applyBorder="1" applyAlignment="1">
      <alignment horizontal="center"/>
    </xf>
    <xf numFmtId="164" fontId="13" fillId="0" borderId="1" xfId="0" applyNumberFormat="1" applyFont="1" applyBorder="1" applyAlignment="1">
      <alignment horizontal="center"/>
    </xf>
    <xf numFmtId="164" fontId="15" fillId="0" borderId="1" xfId="0" applyNumberFormat="1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/>
    </xf>
    <xf numFmtId="164" fontId="17" fillId="7" borderId="1" xfId="1" applyNumberFormat="1" applyFont="1" applyFill="1" applyBorder="1" applyAlignment="1">
      <alignment horizontal="right"/>
    </xf>
    <xf numFmtId="0" fontId="19" fillId="12" borderId="2" xfId="0" applyFont="1" applyFill="1" applyBorder="1" applyAlignment="1">
      <alignment horizontal="left"/>
    </xf>
    <xf numFmtId="0" fontId="19" fillId="12" borderId="12" xfId="0" applyFont="1" applyFill="1" applyBorder="1" applyAlignment="1">
      <alignment horizontal="left"/>
    </xf>
    <xf numFmtId="0" fontId="19" fillId="12" borderId="10" xfId="0" applyFont="1" applyFill="1" applyBorder="1" applyAlignment="1">
      <alignment horizontal="left"/>
    </xf>
    <xf numFmtId="164" fontId="10" fillId="0" borderId="1" xfId="0" applyNumberFormat="1" applyFont="1" applyBorder="1" applyAlignment="1">
      <alignment horizontal="center" vertical="center" wrapText="1"/>
    </xf>
    <xf numFmtId="164" fontId="10" fillId="0" borderId="2" xfId="0" applyNumberFormat="1" applyFont="1" applyBorder="1" applyAlignment="1">
      <alignment horizontal="center" vertical="center" wrapText="1"/>
    </xf>
    <xf numFmtId="0" fontId="17" fillId="11" borderId="3" xfId="0" applyFont="1" applyFill="1" applyBorder="1" applyAlignment="1">
      <alignment horizontal="center" vertical="center"/>
    </xf>
    <xf numFmtId="0" fontId="17" fillId="11" borderId="4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164" fontId="12" fillId="0" borderId="1" xfId="0" quotePrefix="1" applyNumberFormat="1" applyFont="1" applyBorder="1" applyAlignment="1">
      <alignment horizontal="center"/>
    </xf>
    <xf numFmtId="164" fontId="12" fillId="0" borderId="1" xfId="0" applyNumberFormat="1" applyFont="1" applyBorder="1" applyAlignment="1">
      <alignment horizontal="center"/>
    </xf>
    <xf numFmtId="0" fontId="9" fillId="0" borderId="1" xfId="0" applyFont="1" applyBorder="1" applyAlignment="1">
      <alignment horizontal="center" vertical="center"/>
    </xf>
    <xf numFmtId="2" fontId="10" fillId="0" borderId="1" xfId="0" applyNumberFormat="1" applyFont="1" applyBorder="1" applyAlignment="1">
      <alignment horizontal="center" vertical="center" wrapText="1"/>
    </xf>
  </cellXfs>
  <cellStyles count="4">
    <cellStyle name="Comma" xfId="1" builtinId="3"/>
    <cellStyle name="Normal" xfId="0" builtinId="0"/>
    <cellStyle name="Normal 2 3 2" xfId="3" xr:uid="{92CD69DB-E380-44AF-9B95-12EE1B34257F}"/>
    <cellStyle name="Normal 4" xfId="2" xr:uid="{FA11C040-2925-43EA-891B-21C460455FD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961C56-4813-4BEA-AC42-907AA1A20550}">
  <dimension ref="A1:EU1105"/>
  <sheetViews>
    <sheetView zoomScale="110" zoomScaleNormal="110" zoomScaleSheetLayoutView="98" workbookViewId="0">
      <pane xSplit="6" ySplit="5" topLeftCell="G12" activePane="bottomRight" state="frozen"/>
      <selection activeCell="A16" sqref="A16:XFD16"/>
      <selection pane="topRight" activeCell="A16" sqref="A16:XFD16"/>
      <selection pane="bottomLeft" activeCell="A16" sqref="A16:XFD16"/>
      <selection pane="bottomRight" activeCell="A17" sqref="A17:XFD17"/>
    </sheetView>
  </sheetViews>
  <sheetFormatPr defaultColWidth="9" defaultRowHeight="14.4" x14ac:dyDescent="0.3"/>
  <cols>
    <col min="1" max="1" width="3" customWidth="1"/>
    <col min="2" max="2" width="16.44140625" bestFit="1" customWidth="1"/>
    <col min="3" max="3" width="1.88671875" customWidth="1"/>
    <col min="4" max="4" width="13.109375" customWidth="1"/>
    <col min="5" max="5" width="3" customWidth="1"/>
    <col min="6" max="6" width="17.5546875" hidden="1" customWidth="1"/>
    <col min="7" max="7" width="12" customWidth="1"/>
    <col min="8" max="8" width="41.44140625" hidden="1" customWidth="1"/>
    <col min="9" max="9" width="10.5546875" customWidth="1"/>
    <col min="10" max="10" width="43" hidden="1" customWidth="1"/>
    <col min="11" max="11" width="10.5546875" customWidth="1"/>
    <col min="12" max="12" width="31.44140625" hidden="1" customWidth="1"/>
    <col min="13" max="13" width="9" customWidth="1"/>
    <col min="14" max="14" width="28.109375" hidden="1" customWidth="1"/>
    <col min="15" max="15" width="10.44140625" customWidth="1"/>
    <col min="16" max="16" width="10.109375" customWidth="1"/>
    <col min="17" max="17" width="8.88671875" bestFit="1" customWidth="1"/>
    <col min="18" max="20" width="8.44140625" customWidth="1"/>
    <col min="21" max="21" width="9.33203125" customWidth="1"/>
    <col min="22" max="23" width="9.6640625" customWidth="1"/>
    <col min="24" max="24" width="10.109375" customWidth="1"/>
    <col min="25" max="25" width="9.109375" customWidth="1"/>
    <col min="26" max="26" width="9.88671875" customWidth="1"/>
    <col min="27" max="27" width="8.33203125" customWidth="1"/>
    <col min="28" max="28" width="8.109375" customWidth="1"/>
    <col min="29" max="29" width="11.33203125" customWidth="1"/>
    <col min="30" max="30" width="11.6640625" customWidth="1"/>
    <col min="31" max="31" width="8.33203125" customWidth="1"/>
    <col min="32" max="32" width="12.44140625" customWidth="1"/>
    <col min="33" max="33" width="9.88671875" customWidth="1"/>
    <col min="34" max="34" width="10.5546875" customWidth="1"/>
    <col min="35" max="35" width="10.33203125" customWidth="1"/>
    <col min="36" max="36" width="8.5546875" customWidth="1"/>
    <col min="37" max="37" width="12.5546875" customWidth="1"/>
    <col min="38" max="38" width="6.109375" customWidth="1"/>
    <col min="39" max="39" width="3" customWidth="1"/>
  </cols>
  <sheetData>
    <row r="1" spans="1:115" x14ac:dyDescent="0.3">
      <c r="A1" s="1"/>
      <c r="B1" s="116"/>
      <c r="C1" s="116"/>
      <c r="D1" s="116"/>
      <c r="E1" s="116"/>
      <c r="F1" s="116"/>
      <c r="G1" s="116"/>
      <c r="H1" s="116"/>
      <c r="I1" s="116"/>
      <c r="J1" s="2"/>
      <c r="K1" s="2"/>
      <c r="L1" s="3"/>
      <c r="M1" s="2"/>
      <c r="N1" s="2"/>
      <c r="O1" s="2"/>
      <c r="Q1" s="2"/>
      <c r="R1" s="2"/>
      <c r="S1" s="2"/>
      <c r="T1" s="2"/>
      <c r="AG1" s="4"/>
      <c r="AH1" s="4"/>
      <c r="AL1" s="5"/>
      <c r="AM1" s="6"/>
      <c r="AN1" s="5"/>
      <c r="AO1" s="5"/>
      <c r="AP1" s="5"/>
      <c r="AQ1" s="5"/>
      <c r="AR1" s="7"/>
      <c r="AS1" s="7"/>
      <c r="AT1" s="7"/>
      <c r="AU1" s="7"/>
      <c r="AV1" s="7"/>
    </row>
    <row r="2" spans="1:115" ht="12" hidden="1" customHeight="1" x14ac:dyDescent="0.3">
      <c r="A2" s="8"/>
      <c r="B2" s="9"/>
      <c r="C2" s="10" t="s">
        <v>0</v>
      </c>
      <c r="D2" s="11"/>
      <c r="E2" s="10"/>
      <c r="F2" s="10"/>
      <c r="H2" s="12" t="s">
        <v>1</v>
      </c>
      <c r="I2" s="13"/>
      <c r="J2" s="14"/>
      <c r="K2" s="15" t="s">
        <v>2</v>
      </c>
      <c r="L2" s="14"/>
      <c r="M2" s="16"/>
      <c r="N2" s="17"/>
      <c r="O2" s="18"/>
      <c r="Q2" s="19"/>
      <c r="R2" s="19" t="s">
        <v>3</v>
      </c>
      <c r="S2" s="20"/>
      <c r="U2" s="21" t="s">
        <v>4</v>
      </c>
      <c r="V2" s="21"/>
      <c r="W2" s="22"/>
      <c r="Y2" s="23" t="s">
        <v>5</v>
      </c>
      <c r="Z2" s="24"/>
      <c r="AB2" s="25" t="s">
        <v>6</v>
      </c>
      <c r="AC2" s="26"/>
      <c r="AD2" s="27"/>
      <c r="AE2" s="28" t="s">
        <v>7</v>
      </c>
      <c r="AF2" s="29"/>
      <c r="AG2" s="30"/>
      <c r="AH2" s="31" t="s">
        <v>8</v>
      </c>
      <c r="AI2" s="32"/>
      <c r="AJ2" s="32"/>
      <c r="AN2" s="5"/>
      <c r="AO2" s="5"/>
      <c r="AP2" s="5"/>
      <c r="AQ2" s="5"/>
      <c r="AR2" s="7"/>
      <c r="AS2" s="7"/>
      <c r="AT2" s="7"/>
      <c r="AU2" s="7"/>
      <c r="AV2" s="7"/>
    </row>
    <row r="3" spans="1:115" ht="15" customHeight="1" x14ac:dyDescent="0.3">
      <c r="A3" s="33" t="s">
        <v>9</v>
      </c>
      <c r="B3" s="34"/>
      <c r="C3" s="35"/>
      <c r="D3" s="34"/>
      <c r="E3" s="36"/>
      <c r="F3" s="37"/>
      <c r="G3" s="38" t="s">
        <v>10</v>
      </c>
      <c r="H3" s="39"/>
      <c r="I3" s="38"/>
      <c r="J3" s="38"/>
      <c r="K3" s="40"/>
      <c r="L3" s="41"/>
      <c r="M3" s="42"/>
      <c r="N3" s="43"/>
      <c r="O3" s="43"/>
      <c r="P3" s="44"/>
      <c r="Q3" s="45"/>
      <c r="R3" s="46"/>
      <c r="S3" s="117" t="s">
        <v>11</v>
      </c>
      <c r="T3" s="117"/>
      <c r="U3" s="118"/>
      <c r="V3" s="118"/>
      <c r="W3" s="118"/>
      <c r="X3" s="40"/>
      <c r="Y3" s="40"/>
      <c r="Z3" s="40"/>
      <c r="AA3" s="40"/>
      <c r="AB3" s="40"/>
      <c r="AC3" s="40"/>
      <c r="AD3" s="40"/>
      <c r="AE3" s="40"/>
      <c r="AF3" s="40"/>
      <c r="AG3" s="40"/>
      <c r="AH3" s="40"/>
      <c r="AI3" s="40"/>
      <c r="AJ3" s="40"/>
      <c r="AK3" s="47"/>
      <c r="AL3" s="35"/>
      <c r="AM3" s="48"/>
    </row>
    <row r="4" spans="1:115" s="1" customFormat="1" ht="22.5" customHeight="1" x14ac:dyDescent="0.3">
      <c r="A4" s="119" t="s">
        <v>12</v>
      </c>
      <c r="B4" s="119"/>
      <c r="C4" s="119"/>
      <c r="D4" s="119"/>
      <c r="E4" s="119"/>
      <c r="F4" s="49" t="s">
        <v>13</v>
      </c>
      <c r="G4" s="103" t="s">
        <v>14</v>
      </c>
      <c r="H4" s="104" t="s">
        <v>15</v>
      </c>
      <c r="I4" s="105" t="s">
        <v>15</v>
      </c>
      <c r="J4" s="104" t="s">
        <v>16</v>
      </c>
      <c r="K4" s="105" t="s">
        <v>17</v>
      </c>
      <c r="L4" s="104" t="s">
        <v>18</v>
      </c>
      <c r="M4" s="41" t="s">
        <v>19</v>
      </c>
      <c r="N4" s="106" t="s">
        <v>20</v>
      </c>
      <c r="O4" s="105" t="s">
        <v>21</v>
      </c>
      <c r="P4" s="112" t="s">
        <v>22</v>
      </c>
      <c r="Q4" s="112" t="s">
        <v>23</v>
      </c>
      <c r="R4" s="112" t="s">
        <v>24</v>
      </c>
      <c r="S4" s="120" t="s">
        <v>25</v>
      </c>
      <c r="T4" s="120" t="s">
        <v>26</v>
      </c>
      <c r="U4" s="51" t="s">
        <v>27</v>
      </c>
      <c r="V4" s="112" t="s">
        <v>28</v>
      </c>
      <c r="W4" s="112" t="s">
        <v>29</v>
      </c>
      <c r="X4" s="112" t="s">
        <v>30</v>
      </c>
      <c r="Y4" s="112" t="s">
        <v>31</v>
      </c>
      <c r="Z4" s="112" t="s">
        <v>32</v>
      </c>
      <c r="AA4" s="112" t="s">
        <v>33</v>
      </c>
      <c r="AB4" s="112" t="s">
        <v>34</v>
      </c>
      <c r="AC4" s="112" t="s">
        <v>35</v>
      </c>
      <c r="AD4" s="52" t="s">
        <v>36</v>
      </c>
      <c r="AE4" s="50" t="s">
        <v>37</v>
      </c>
      <c r="AF4" s="112" t="s">
        <v>38</v>
      </c>
      <c r="AG4" s="112" t="s">
        <v>39</v>
      </c>
      <c r="AH4" s="112" t="s">
        <v>40</v>
      </c>
      <c r="AI4" s="50" t="s">
        <v>41</v>
      </c>
      <c r="AJ4" s="50" t="s">
        <v>42</v>
      </c>
      <c r="AK4" s="113" t="s">
        <v>43</v>
      </c>
      <c r="AL4" s="33"/>
      <c r="AM4" s="48"/>
      <c r="AN4" s="5"/>
      <c r="AO4" s="5"/>
      <c r="AP4" s="5"/>
      <c r="AQ4" s="5"/>
      <c r="AR4" s="7"/>
      <c r="AS4" s="7"/>
      <c r="AT4" s="7"/>
      <c r="AU4" s="7"/>
      <c r="AV4" s="7"/>
      <c r="AW4"/>
      <c r="AX4"/>
      <c r="AY4"/>
      <c r="AZ4"/>
      <c r="BA4"/>
      <c r="BB4"/>
      <c r="BC4"/>
      <c r="BD4"/>
      <c r="BE4"/>
      <c r="BF4"/>
      <c r="BG4"/>
    </row>
    <row r="5" spans="1:115" s="1" customFormat="1" ht="18" customHeight="1" x14ac:dyDescent="0.3">
      <c r="A5" s="119"/>
      <c r="B5" s="119"/>
      <c r="C5" s="119"/>
      <c r="D5" s="119"/>
      <c r="E5" s="119"/>
      <c r="F5" s="49"/>
      <c r="G5" s="105" t="s">
        <v>44</v>
      </c>
      <c r="H5" s="104" t="s">
        <v>45</v>
      </c>
      <c r="I5" s="105" t="s">
        <v>44</v>
      </c>
      <c r="J5" s="104" t="s">
        <v>45</v>
      </c>
      <c r="K5" s="105" t="s">
        <v>44</v>
      </c>
      <c r="L5" s="104" t="s">
        <v>45</v>
      </c>
      <c r="M5" s="105" t="s">
        <v>44</v>
      </c>
      <c r="N5" s="107" t="s">
        <v>46</v>
      </c>
      <c r="O5" s="105" t="s">
        <v>44</v>
      </c>
      <c r="P5" s="112"/>
      <c r="Q5" s="112"/>
      <c r="R5" s="112"/>
      <c r="S5" s="120"/>
      <c r="T5" s="120"/>
      <c r="U5" s="53"/>
      <c r="V5" s="112"/>
      <c r="W5" s="112"/>
      <c r="X5" s="112"/>
      <c r="Y5" s="112"/>
      <c r="Z5" s="112"/>
      <c r="AA5" s="112"/>
      <c r="AB5" s="112"/>
      <c r="AC5" s="112"/>
      <c r="AD5" s="50" t="s">
        <v>47</v>
      </c>
      <c r="AE5" s="50" t="s">
        <v>48</v>
      </c>
      <c r="AF5" s="112"/>
      <c r="AG5" s="112"/>
      <c r="AH5" s="112"/>
      <c r="AI5" s="54" t="s">
        <v>47</v>
      </c>
      <c r="AJ5" s="54" t="s">
        <v>49</v>
      </c>
      <c r="AK5" s="113"/>
      <c r="AL5" s="33"/>
      <c r="AM5" s="48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</row>
    <row r="6" spans="1:115" s="1" customFormat="1" ht="15" customHeight="1" x14ac:dyDescent="0.3">
      <c r="A6" s="114" t="s">
        <v>50</v>
      </c>
      <c r="B6" s="115"/>
      <c r="C6" s="115"/>
      <c r="D6" s="115"/>
      <c r="E6" s="115"/>
      <c r="F6" s="55"/>
      <c r="G6" s="56"/>
      <c r="H6" s="57"/>
      <c r="I6" s="57"/>
      <c r="J6" s="57"/>
      <c r="K6" s="57"/>
      <c r="L6" s="57"/>
      <c r="M6" s="57"/>
      <c r="N6" s="58"/>
      <c r="O6" s="58"/>
      <c r="P6" s="59"/>
      <c r="Q6" s="55"/>
      <c r="R6" s="55"/>
      <c r="S6" s="60"/>
      <c r="T6" s="60"/>
      <c r="U6" s="61"/>
      <c r="V6" s="55"/>
      <c r="W6" s="55"/>
      <c r="X6" s="55"/>
      <c r="Y6" s="55"/>
      <c r="Z6" s="55"/>
      <c r="AA6" s="55"/>
      <c r="AB6" s="55"/>
      <c r="AC6" s="55"/>
      <c r="AD6" s="55"/>
      <c r="AE6" s="55"/>
      <c r="AF6" s="55"/>
      <c r="AG6" s="55"/>
      <c r="AH6" s="55"/>
      <c r="AI6" s="62"/>
      <c r="AJ6" s="62"/>
      <c r="AK6" s="63"/>
      <c r="AL6" s="64"/>
      <c r="AM6" s="48"/>
      <c r="AN6" s="5"/>
      <c r="AO6" s="5"/>
      <c r="AP6" s="5"/>
      <c r="AQ6" s="5"/>
      <c r="AR6" s="7"/>
      <c r="AS6" s="7"/>
      <c r="AT6" s="7"/>
      <c r="AU6" s="7"/>
      <c r="AV6" s="7"/>
      <c r="AW6"/>
      <c r="AX6"/>
      <c r="AY6"/>
      <c r="AZ6"/>
      <c r="BA6"/>
      <c r="BB6"/>
      <c r="BC6"/>
      <c r="BD6"/>
      <c r="BE6"/>
      <c r="BF6"/>
      <c r="BG6"/>
    </row>
    <row r="7" spans="1:115" ht="15" customHeight="1" x14ac:dyDescent="0.3">
      <c r="A7" s="65"/>
      <c r="B7" s="109"/>
      <c r="C7" s="110"/>
      <c r="D7" s="110"/>
      <c r="E7" s="111"/>
      <c r="F7" s="85"/>
      <c r="G7" s="86"/>
      <c r="H7" s="86"/>
      <c r="I7" s="86"/>
      <c r="J7" s="86"/>
      <c r="K7" s="86"/>
      <c r="L7" s="86"/>
      <c r="M7" s="86"/>
      <c r="N7" s="86"/>
      <c r="O7" s="86"/>
      <c r="P7" s="86"/>
      <c r="Q7" s="67">
        <f t="shared" ref="Q7:Q68" si="0">P7*0.02</f>
        <v>0</v>
      </c>
      <c r="R7" s="67">
        <f t="shared" ref="R7:R68" si="1">P7+Q7</f>
        <v>0</v>
      </c>
      <c r="S7" s="86"/>
      <c r="T7" s="86"/>
      <c r="U7" s="86"/>
      <c r="V7" s="86"/>
      <c r="W7" s="66">
        <f t="shared" ref="W7:W68" si="2">G7+I7+K7+M7+O7+R7+S7+T7+U7+V7</f>
        <v>0</v>
      </c>
      <c r="X7" s="96"/>
      <c r="Y7" s="68">
        <f t="shared" ref="Y7:Y68" si="3">X7*0.02</f>
        <v>0</v>
      </c>
      <c r="Z7" s="68">
        <f t="shared" ref="Z7:Z68" si="4">X7+Y7</f>
        <v>0</v>
      </c>
      <c r="AA7" s="72"/>
      <c r="AB7" s="68">
        <f>AA7*0.025</f>
        <v>0</v>
      </c>
      <c r="AC7" s="68">
        <f>AA7+AB7</f>
        <v>0</v>
      </c>
      <c r="AD7" s="68"/>
      <c r="AE7" s="55"/>
      <c r="AF7" s="69">
        <f t="shared" ref="AF7:AF73" si="5">W7+Z7+AC7+AD7+AE7</f>
        <v>0</v>
      </c>
      <c r="AG7" s="86"/>
      <c r="AH7" s="108"/>
      <c r="AI7" s="108"/>
      <c r="AJ7" s="108"/>
      <c r="AK7" s="70">
        <f t="shared" ref="AK7" si="6">AF7-AG7-AH7-AI7-AJ7</f>
        <v>0</v>
      </c>
      <c r="AL7" s="71"/>
      <c r="AM7" s="48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</row>
    <row r="8" spans="1:115" ht="15.75" customHeight="1" x14ac:dyDescent="0.3">
      <c r="A8" s="65"/>
      <c r="B8" s="109"/>
      <c r="C8" s="110"/>
      <c r="D8" s="110"/>
      <c r="E8" s="111"/>
      <c r="F8" s="85"/>
      <c r="G8" s="86"/>
      <c r="H8" s="86"/>
      <c r="I8" s="86"/>
      <c r="J8" s="86"/>
      <c r="K8" s="86"/>
      <c r="L8" s="86"/>
      <c r="M8" s="86"/>
      <c r="N8" s="86"/>
      <c r="O8" s="86"/>
      <c r="P8" s="86"/>
      <c r="Q8" s="67">
        <f t="shared" si="0"/>
        <v>0</v>
      </c>
      <c r="R8" s="67">
        <f t="shared" si="1"/>
        <v>0</v>
      </c>
      <c r="S8" s="86"/>
      <c r="T8" s="86"/>
      <c r="U8" s="86"/>
      <c r="V8" s="86"/>
      <c r="W8" s="66">
        <f t="shared" si="2"/>
        <v>0</v>
      </c>
      <c r="X8" s="97"/>
      <c r="Y8" s="68">
        <f t="shared" si="3"/>
        <v>0</v>
      </c>
      <c r="Z8" s="68">
        <f t="shared" si="4"/>
        <v>0</v>
      </c>
      <c r="AA8" s="72"/>
      <c r="AB8" s="68">
        <f t="shared" ref="AB8:AB73" si="7">AA8*0.025</f>
        <v>0</v>
      </c>
      <c r="AC8" s="68">
        <f t="shared" ref="AC8:AC73" si="8">AA8+AB8</f>
        <v>0</v>
      </c>
      <c r="AD8" s="68"/>
      <c r="AE8" s="55"/>
      <c r="AF8" s="69">
        <f t="shared" si="5"/>
        <v>0</v>
      </c>
      <c r="AG8" s="86"/>
      <c r="AH8" s="108"/>
      <c r="AI8" s="108"/>
      <c r="AJ8" s="108"/>
      <c r="AK8" s="70">
        <f t="shared" ref="AK8:AK73" si="9">AF8-AG8-AH8-AI8-AJ8</f>
        <v>0</v>
      </c>
      <c r="AL8" s="71"/>
      <c r="AM8" s="48"/>
      <c r="AN8" s="5"/>
      <c r="AO8" s="5"/>
      <c r="AP8" s="5"/>
      <c r="AQ8" s="5"/>
      <c r="AR8" s="7"/>
      <c r="AS8" s="7"/>
      <c r="AT8" s="7"/>
      <c r="AU8" s="7"/>
      <c r="AV8" s="7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</row>
    <row r="9" spans="1:115" ht="14.25" customHeight="1" x14ac:dyDescent="0.3">
      <c r="A9" s="65"/>
      <c r="B9" s="109"/>
      <c r="C9" s="110"/>
      <c r="D9" s="110"/>
      <c r="E9" s="111"/>
      <c r="F9" s="85"/>
      <c r="G9" s="86"/>
      <c r="H9" s="86"/>
      <c r="I9" s="86"/>
      <c r="J9" s="86"/>
      <c r="K9" s="86"/>
      <c r="L9" s="86"/>
      <c r="M9" s="86"/>
      <c r="N9" s="86"/>
      <c r="O9" s="86"/>
      <c r="P9" s="86"/>
      <c r="Q9" s="67">
        <f t="shared" si="0"/>
        <v>0</v>
      </c>
      <c r="R9" s="67">
        <f t="shared" si="1"/>
        <v>0</v>
      </c>
      <c r="S9" s="86"/>
      <c r="T9" s="86"/>
      <c r="U9" s="86"/>
      <c r="V9" s="86"/>
      <c r="W9" s="66">
        <f t="shared" si="2"/>
        <v>0</v>
      </c>
      <c r="X9" s="98"/>
      <c r="Y9" s="68">
        <f t="shared" si="3"/>
        <v>0</v>
      </c>
      <c r="Z9" s="68">
        <f t="shared" si="4"/>
        <v>0</v>
      </c>
      <c r="AA9" s="72"/>
      <c r="AB9" s="68">
        <f t="shared" si="7"/>
        <v>0</v>
      </c>
      <c r="AC9" s="68">
        <f t="shared" si="8"/>
        <v>0</v>
      </c>
      <c r="AD9" s="68"/>
      <c r="AE9" s="55"/>
      <c r="AF9" s="69">
        <f t="shared" si="5"/>
        <v>0</v>
      </c>
      <c r="AG9" s="86"/>
      <c r="AH9" s="108"/>
      <c r="AI9" s="108"/>
      <c r="AJ9" s="108"/>
      <c r="AK9" s="70">
        <f t="shared" si="9"/>
        <v>0</v>
      </c>
      <c r="AL9" s="71"/>
      <c r="AM9" s="48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</row>
    <row r="10" spans="1:115" ht="15" customHeight="1" x14ac:dyDescent="0.3">
      <c r="A10" s="65"/>
      <c r="B10" s="109"/>
      <c r="C10" s="110"/>
      <c r="D10" s="110"/>
      <c r="E10" s="111"/>
      <c r="F10" s="85"/>
      <c r="G10" s="86"/>
      <c r="H10" s="86"/>
      <c r="I10" s="86"/>
      <c r="J10" s="86"/>
      <c r="K10" s="86"/>
      <c r="L10" s="86"/>
      <c r="M10" s="86"/>
      <c r="N10" s="86"/>
      <c r="O10" s="86"/>
      <c r="P10" s="86"/>
      <c r="Q10" s="67">
        <f t="shared" si="0"/>
        <v>0</v>
      </c>
      <c r="R10" s="67">
        <f t="shared" si="1"/>
        <v>0</v>
      </c>
      <c r="S10" s="86"/>
      <c r="T10" s="86"/>
      <c r="U10" s="86"/>
      <c r="V10" s="86"/>
      <c r="W10" s="66">
        <f t="shared" si="2"/>
        <v>0</v>
      </c>
      <c r="X10" s="97"/>
      <c r="Y10" s="68">
        <f t="shared" si="3"/>
        <v>0</v>
      </c>
      <c r="Z10" s="68">
        <f t="shared" si="4"/>
        <v>0</v>
      </c>
      <c r="AA10" s="72"/>
      <c r="AB10" s="68">
        <f t="shared" si="7"/>
        <v>0</v>
      </c>
      <c r="AC10" s="68">
        <f t="shared" si="8"/>
        <v>0</v>
      </c>
      <c r="AD10" s="68"/>
      <c r="AE10" s="55"/>
      <c r="AF10" s="69">
        <f t="shared" si="5"/>
        <v>0</v>
      </c>
      <c r="AG10" s="86"/>
      <c r="AH10" s="108"/>
      <c r="AI10" s="108"/>
      <c r="AJ10" s="108"/>
      <c r="AK10" s="70">
        <f t="shared" si="9"/>
        <v>0</v>
      </c>
      <c r="AL10" s="71"/>
      <c r="AM10" s="48"/>
      <c r="AN10" s="5"/>
      <c r="AO10" s="5"/>
      <c r="AP10" s="5"/>
      <c r="AQ10" s="5"/>
      <c r="AR10" s="7"/>
      <c r="AS10" s="7"/>
      <c r="AT10" s="7"/>
      <c r="AU10" s="7"/>
      <c r="AV10" s="7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</row>
    <row r="11" spans="1:115" s="42" customFormat="1" ht="15" customHeight="1" x14ac:dyDescent="0.3">
      <c r="A11" s="65"/>
      <c r="B11" s="109"/>
      <c r="C11" s="110"/>
      <c r="D11" s="110"/>
      <c r="E11" s="111"/>
      <c r="F11" s="93"/>
      <c r="G11" s="86"/>
      <c r="H11" s="86"/>
      <c r="I11" s="86"/>
      <c r="J11" s="86"/>
      <c r="K11" s="86"/>
      <c r="L11" s="86"/>
      <c r="M11" s="86"/>
      <c r="N11" s="86"/>
      <c r="O11" s="86"/>
      <c r="P11" s="86"/>
      <c r="Q11" s="67">
        <f t="shared" si="0"/>
        <v>0</v>
      </c>
      <c r="R11" s="67">
        <f t="shared" si="1"/>
        <v>0</v>
      </c>
      <c r="S11" s="86"/>
      <c r="T11" s="86"/>
      <c r="U11" s="86"/>
      <c r="V11" s="86"/>
      <c r="W11" s="66">
        <f t="shared" si="2"/>
        <v>0</v>
      </c>
      <c r="X11" s="99"/>
      <c r="Y11" s="68">
        <f t="shared" si="3"/>
        <v>0</v>
      </c>
      <c r="Z11" s="68">
        <f t="shared" si="4"/>
        <v>0</v>
      </c>
      <c r="AA11" s="72"/>
      <c r="AB11" s="68">
        <f t="shared" si="7"/>
        <v>0</v>
      </c>
      <c r="AC11" s="68">
        <f t="shared" si="8"/>
        <v>0</v>
      </c>
      <c r="AD11" s="68"/>
      <c r="AE11" s="55"/>
      <c r="AF11" s="69">
        <f t="shared" si="5"/>
        <v>0</v>
      </c>
      <c r="AG11" s="86"/>
      <c r="AH11" s="108"/>
      <c r="AI11" s="108"/>
      <c r="AJ11" s="108"/>
      <c r="AK11" s="70">
        <f t="shared" si="9"/>
        <v>0</v>
      </c>
      <c r="AL11" s="71"/>
      <c r="AM11" s="48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</row>
    <row r="12" spans="1:115" s="74" customFormat="1" ht="15" customHeight="1" x14ac:dyDescent="0.3">
      <c r="A12" s="65"/>
      <c r="B12" s="109"/>
      <c r="C12" s="110"/>
      <c r="D12" s="110"/>
      <c r="E12" s="111"/>
      <c r="F12" s="93"/>
      <c r="G12" s="86"/>
      <c r="H12" s="86"/>
      <c r="I12" s="86"/>
      <c r="J12" s="86"/>
      <c r="K12" s="86"/>
      <c r="L12" s="86"/>
      <c r="M12" s="86"/>
      <c r="N12" s="86"/>
      <c r="O12" s="86"/>
      <c r="P12" s="87"/>
      <c r="Q12" s="67">
        <f t="shared" si="0"/>
        <v>0</v>
      </c>
      <c r="R12" s="67">
        <f t="shared" si="1"/>
        <v>0</v>
      </c>
      <c r="S12" s="86"/>
      <c r="T12" s="86"/>
      <c r="U12" s="86"/>
      <c r="V12" s="86"/>
      <c r="W12" s="66">
        <f t="shared" si="2"/>
        <v>0</v>
      </c>
      <c r="X12" s="96"/>
      <c r="Y12" s="68">
        <f t="shared" si="3"/>
        <v>0</v>
      </c>
      <c r="Z12" s="68">
        <f t="shared" si="4"/>
        <v>0</v>
      </c>
      <c r="AA12" s="72"/>
      <c r="AB12" s="68">
        <f t="shared" si="7"/>
        <v>0</v>
      </c>
      <c r="AC12" s="68">
        <f t="shared" si="8"/>
        <v>0</v>
      </c>
      <c r="AD12" s="68"/>
      <c r="AE12" s="55"/>
      <c r="AF12" s="69">
        <f t="shared" si="5"/>
        <v>0</v>
      </c>
      <c r="AG12" s="86"/>
      <c r="AH12" s="108"/>
      <c r="AI12" s="108"/>
      <c r="AJ12" s="108"/>
      <c r="AK12" s="70">
        <f t="shared" si="9"/>
        <v>0</v>
      </c>
      <c r="AL12" s="71"/>
      <c r="AM12" s="48"/>
      <c r="AN12" s="5"/>
      <c r="AO12" s="5"/>
      <c r="AP12" s="5"/>
      <c r="AQ12" s="5"/>
      <c r="AR12" s="7"/>
      <c r="AS12" s="7"/>
      <c r="AT12" s="7"/>
      <c r="AU12" s="7"/>
      <c r="AV12" s="7"/>
      <c r="AW12"/>
      <c r="AX12"/>
      <c r="AY12"/>
      <c r="AZ12"/>
      <c r="BA12"/>
      <c r="BB12"/>
      <c r="BC12"/>
      <c r="BD12"/>
      <c r="BE12"/>
      <c r="BF12"/>
      <c r="BG12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</row>
    <row r="13" spans="1:115" s="42" customFormat="1" ht="15" customHeight="1" x14ac:dyDescent="0.3">
      <c r="A13" s="65"/>
      <c r="B13" s="109"/>
      <c r="C13" s="110"/>
      <c r="D13" s="110"/>
      <c r="E13" s="111"/>
      <c r="F13" s="93"/>
      <c r="G13" s="86"/>
      <c r="H13" s="86"/>
      <c r="I13" s="86"/>
      <c r="J13" s="86"/>
      <c r="K13" s="86"/>
      <c r="L13" s="86"/>
      <c r="M13" s="86"/>
      <c r="N13" s="86"/>
      <c r="O13" s="86"/>
      <c r="P13" s="86"/>
      <c r="Q13" s="67">
        <f t="shared" si="0"/>
        <v>0</v>
      </c>
      <c r="R13" s="67">
        <f t="shared" si="1"/>
        <v>0</v>
      </c>
      <c r="S13" s="86"/>
      <c r="T13" s="86"/>
      <c r="U13" s="86"/>
      <c r="V13" s="86"/>
      <c r="W13" s="66">
        <f t="shared" si="2"/>
        <v>0</v>
      </c>
      <c r="X13" s="96"/>
      <c r="Y13" s="68">
        <f t="shared" si="3"/>
        <v>0</v>
      </c>
      <c r="Z13" s="68">
        <f t="shared" si="4"/>
        <v>0</v>
      </c>
      <c r="AA13" s="72"/>
      <c r="AB13" s="68">
        <f t="shared" si="7"/>
        <v>0</v>
      </c>
      <c r="AC13" s="68">
        <f t="shared" si="8"/>
        <v>0</v>
      </c>
      <c r="AD13" s="68"/>
      <c r="AE13" s="55"/>
      <c r="AF13" s="69">
        <f t="shared" si="5"/>
        <v>0</v>
      </c>
      <c r="AG13" s="86"/>
      <c r="AH13" s="108"/>
      <c r="AI13" s="108"/>
      <c r="AJ13" s="108"/>
      <c r="AK13" s="70">
        <f t="shared" si="9"/>
        <v>0</v>
      </c>
      <c r="AL13" s="71"/>
      <c r="AM13" s="48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</row>
    <row r="14" spans="1:115" ht="15" customHeight="1" x14ac:dyDescent="0.3">
      <c r="A14" s="65"/>
      <c r="B14" s="109"/>
      <c r="C14" s="110"/>
      <c r="D14" s="110"/>
      <c r="E14" s="111"/>
      <c r="F14" s="88"/>
      <c r="G14" s="86"/>
      <c r="H14" s="86"/>
      <c r="I14" s="86"/>
      <c r="J14" s="86"/>
      <c r="K14" s="86"/>
      <c r="L14" s="86"/>
      <c r="M14" s="86"/>
      <c r="N14" s="86"/>
      <c r="O14" s="86"/>
      <c r="P14" s="86"/>
      <c r="Q14" s="67">
        <f t="shared" si="0"/>
        <v>0</v>
      </c>
      <c r="R14" s="67">
        <f t="shared" si="1"/>
        <v>0</v>
      </c>
      <c r="S14" s="86"/>
      <c r="T14" s="86"/>
      <c r="U14" s="86"/>
      <c r="V14" s="86"/>
      <c r="W14" s="66">
        <f t="shared" si="2"/>
        <v>0</v>
      </c>
      <c r="X14" s="97"/>
      <c r="Y14" s="68">
        <f t="shared" si="3"/>
        <v>0</v>
      </c>
      <c r="Z14" s="68">
        <f t="shared" si="4"/>
        <v>0</v>
      </c>
      <c r="AA14" s="72"/>
      <c r="AB14" s="68">
        <f t="shared" si="7"/>
        <v>0</v>
      </c>
      <c r="AC14" s="68">
        <f t="shared" si="8"/>
        <v>0</v>
      </c>
      <c r="AD14" s="68"/>
      <c r="AE14" s="55"/>
      <c r="AF14" s="69">
        <f t="shared" si="5"/>
        <v>0</v>
      </c>
      <c r="AG14" s="86"/>
      <c r="AH14" s="108"/>
      <c r="AI14" s="108"/>
      <c r="AJ14" s="108"/>
      <c r="AK14" s="70">
        <f t="shared" si="9"/>
        <v>0</v>
      </c>
      <c r="AL14" s="71"/>
      <c r="AM14" s="48"/>
      <c r="AN14" s="5"/>
      <c r="AO14" s="5"/>
      <c r="AP14" s="5"/>
      <c r="AQ14" s="5"/>
      <c r="AR14" s="7"/>
      <c r="AS14" s="7"/>
      <c r="AT14" s="7"/>
      <c r="AU14" s="7"/>
      <c r="AV14" s="7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</row>
    <row r="15" spans="1:115" ht="15" customHeight="1" x14ac:dyDescent="0.3">
      <c r="A15" s="65"/>
      <c r="B15" s="109"/>
      <c r="C15" s="110"/>
      <c r="D15" s="110"/>
      <c r="E15" s="111"/>
      <c r="F15" s="85"/>
      <c r="G15" s="86"/>
      <c r="H15" s="86"/>
      <c r="I15" s="86"/>
      <c r="J15" s="86"/>
      <c r="K15" s="86"/>
      <c r="L15" s="86"/>
      <c r="M15" s="86"/>
      <c r="N15" s="86"/>
      <c r="O15" s="86"/>
      <c r="P15" s="86"/>
      <c r="Q15" s="67">
        <f t="shared" si="0"/>
        <v>0</v>
      </c>
      <c r="R15" s="67">
        <f t="shared" si="1"/>
        <v>0</v>
      </c>
      <c r="S15" s="86"/>
      <c r="T15" s="86"/>
      <c r="U15" s="86"/>
      <c r="V15" s="86"/>
      <c r="W15" s="66">
        <f t="shared" si="2"/>
        <v>0</v>
      </c>
      <c r="X15" s="97"/>
      <c r="Y15" s="68">
        <f t="shared" si="3"/>
        <v>0</v>
      </c>
      <c r="Z15" s="68">
        <f t="shared" si="4"/>
        <v>0</v>
      </c>
      <c r="AA15" s="72"/>
      <c r="AB15" s="68">
        <f t="shared" si="7"/>
        <v>0</v>
      </c>
      <c r="AC15" s="68">
        <f t="shared" si="8"/>
        <v>0</v>
      </c>
      <c r="AD15" s="68"/>
      <c r="AE15" s="55"/>
      <c r="AF15" s="69">
        <f t="shared" si="5"/>
        <v>0</v>
      </c>
      <c r="AG15" s="86"/>
      <c r="AH15" s="108"/>
      <c r="AI15" s="108"/>
      <c r="AJ15" s="108"/>
      <c r="AK15" s="70">
        <f t="shared" si="9"/>
        <v>0</v>
      </c>
      <c r="AL15" s="71"/>
      <c r="AM15" s="48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</row>
    <row r="16" spans="1:115" s="74" customFormat="1" ht="15" customHeight="1" x14ac:dyDescent="0.3">
      <c r="A16" s="65"/>
      <c r="B16" s="109"/>
      <c r="C16" s="110"/>
      <c r="D16" s="110"/>
      <c r="E16" s="111"/>
      <c r="F16" s="93"/>
      <c r="G16" s="86"/>
      <c r="H16" s="86"/>
      <c r="I16" s="86"/>
      <c r="J16" s="86"/>
      <c r="K16" s="86"/>
      <c r="L16" s="86"/>
      <c r="M16" s="86"/>
      <c r="N16" s="86"/>
      <c r="O16" s="86"/>
      <c r="P16" s="87"/>
      <c r="Q16" s="67">
        <f t="shared" si="0"/>
        <v>0</v>
      </c>
      <c r="R16" s="67">
        <f t="shared" si="1"/>
        <v>0</v>
      </c>
      <c r="S16" s="86"/>
      <c r="T16" s="86"/>
      <c r="U16" s="86"/>
      <c r="V16" s="86"/>
      <c r="W16" s="66">
        <f t="shared" si="2"/>
        <v>0</v>
      </c>
      <c r="X16" s="99"/>
      <c r="Y16" s="68">
        <f t="shared" si="3"/>
        <v>0</v>
      </c>
      <c r="Z16" s="68">
        <f t="shared" si="4"/>
        <v>0</v>
      </c>
      <c r="AA16" s="72"/>
      <c r="AB16" s="68">
        <f t="shared" si="7"/>
        <v>0</v>
      </c>
      <c r="AC16" s="68">
        <f t="shared" si="8"/>
        <v>0</v>
      </c>
      <c r="AD16" s="68"/>
      <c r="AE16" s="55"/>
      <c r="AF16" s="69">
        <f t="shared" si="5"/>
        <v>0</v>
      </c>
      <c r="AG16" s="86"/>
      <c r="AH16" s="108"/>
      <c r="AI16" s="108"/>
      <c r="AJ16" s="108"/>
      <c r="AK16" s="70">
        <f t="shared" si="9"/>
        <v>0</v>
      </c>
      <c r="AL16" s="71"/>
      <c r="AM16" s="48"/>
      <c r="AN16" s="5"/>
      <c r="AO16" s="5"/>
      <c r="AP16" s="5"/>
      <c r="AQ16" s="5"/>
      <c r="AR16" s="7"/>
      <c r="AS16" s="7"/>
      <c r="AT16" s="7"/>
      <c r="AU16" s="7"/>
      <c r="AV16" s="7"/>
      <c r="AW16"/>
      <c r="AX16"/>
      <c r="AY16"/>
      <c r="AZ16"/>
      <c r="BA16"/>
      <c r="BB16"/>
      <c r="BC16"/>
      <c r="BD16"/>
      <c r="BE16"/>
      <c r="BF16"/>
      <c r="BG16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</row>
    <row r="17" spans="1:115" ht="15" customHeight="1" x14ac:dyDescent="0.3">
      <c r="A17" s="65"/>
      <c r="B17" s="109"/>
      <c r="C17" s="110"/>
      <c r="D17" s="110"/>
      <c r="E17" s="111"/>
      <c r="F17" s="85"/>
      <c r="G17" s="86"/>
      <c r="H17" s="86"/>
      <c r="I17" s="86"/>
      <c r="J17" s="86"/>
      <c r="K17" s="86"/>
      <c r="L17" s="86"/>
      <c r="M17" s="86"/>
      <c r="N17" s="86"/>
      <c r="O17" s="86"/>
      <c r="P17" s="87"/>
      <c r="Q17" s="67">
        <f t="shared" si="0"/>
        <v>0</v>
      </c>
      <c r="R17" s="67">
        <f t="shared" si="1"/>
        <v>0</v>
      </c>
      <c r="S17" s="86"/>
      <c r="T17" s="86"/>
      <c r="U17" s="86"/>
      <c r="V17" s="86"/>
      <c r="W17" s="66">
        <f>G17+I17+K17+M17+O17+R17+S17+T17+U17+V17</f>
        <v>0</v>
      </c>
      <c r="X17" s="100"/>
      <c r="Y17" s="68">
        <f t="shared" si="3"/>
        <v>0</v>
      </c>
      <c r="Z17" s="68">
        <f t="shared" si="4"/>
        <v>0</v>
      </c>
      <c r="AA17" s="72"/>
      <c r="AB17" s="68">
        <f t="shared" si="7"/>
        <v>0</v>
      </c>
      <c r="AC17" s="68">
        <f t="shared" si="8"/>
        <v>0</v>
      </c>
      <c r="AD17" s="68"/>
      <c r="AE17" s="55"/>
      <c r="AF17" s="69">
        <f t="shared" si="5"/>
        <v>0</v>
      </c>
      <c r="AG17" s="86"/>
      <c r="AH17" s="108"/>
      <c r="AI17" s="108"/>
      <c r="AJ17" s="108"/>
      <c r="AK17" s="70">
        <f t="shared" si="9"/>
        <v>0</v>
      </c>
      <c r="AL17" s="71"/>
      <c r="AM17" s="48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</row>
    <row r="18" spans="1:115" ht="15" customHeight="1" x14ac:dyDescent="0.3">
      <c r="A18" s="65"/>
      <c r="B18" s="109"/>
      <c r="C18" s="110"/>
      <c r="D18" s="110"/>
      <c r="E18" s="111"/>
      <c r="F18" s="88"/>
      <c r="G18" s="86"/>
      <c r="H18" s="86"/>
      <c r="I18" s="86"/>
      <c r="J18" s="86"/>
      <c r="K18" s="86"/>
      <c r="L18" s="86"/>
      <c r="M18" s="86"/>
      <c r="N18" s="86"/>
      <c r="O18" s="86"/>
      <c r="P18" s="89"/>
      <c r="Q18" s="67">
        <f t="shared" si="0"/>
        <v>0</v>
      </c>
      <c r="R18" s="67">
        <f t="shared" si="1"/>
        <v>0</v>
      </c>
      <c r="S18" s="86"/>
      <c r="T18" s="86"/>
      <c r="U18" s="86"/>
      <c r="V18" s="86"/>
      <c r="W18" s="66">
        <f t="shared" si="2"/>
        <v>0</v>
      </c>
      <c r="X18" s="96"/>
      <c r="Y18" s="68">
        <f t="shared" si="3"/>
        <v>0</v>
      </c>
      <c r="Z18" s="68">
        <f t="shared" si="4"/>
        <v>0</v>
      </c>
      <c r="AA18" s="72"/>
      <c r="AB18" s="68">
        <f t="shared" si="7"/>
        <v>0</v>
      </c>
      <c r="AC18" s="68">
        <f t="shared" si="8"/>
        <v>0</v>
      </c>
      <c r="AD18" s="68"/>
      <c r="AE18" s="55"/>
      <c r="AF18" s="69">
        <f t="shared" si="5"/>
        <v>0</v>
      </c>
      <c r="AG18" s="86"/>
      <c r="AH18" s="108"/>
      <c r="AI18" s="108"/>
      <c r="AJ18" s="108"/>
      <c r="AK18" s="70">
        <f t="shared" si="9"/>
        <v>0</v>
      </c>
      <c r="AL18" s="71"/>
      <c r="AM18" s="48"/>
      <c r="AN18" s="5"/>
      <c r="AO18" s="5"/>
      <c r="AP18" s="5"/>
      <c r="AQ18" s="5"/>
      <c r="AR18" s="7"/>
      <c r="AS18" s="7"/>
      <c r="AT18" s="7"/>
      <c r="AU18" s="7"/>
      <c r="AV18" s="7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</row>
    <row r="19" spans="1:115" ht="15" customHeight="1" x14ac:dyDescent="0.3">
      <c r="A19" s="65"/>
      <c r="B19" s="109"/>
      <c r="C19" s="110"/>
      <c r="D19" s="110"/>
      <c r="E19" s="111"/>
      <c r="F19" s="88" t="s">
        <v>51</v>
      </c>
      <c r="G19" s="86"/>
      <c r="H19" s="86"/>
      <c r="I19" s="86"/>
      <c r="J19" s="86"/>
      <c r="K19" s="86"/>
      <c r="L19" s="86"/>
      <c r="M19" s="86"/>
      <c r="N19" s="86"/>
      <c r="O19" s="86"/>
      <c r="P19" s="86"/>
      <c r="Q19" s="67">
        <f t="shared" si="0"/>
        <v>0</v>
      </c>
      <c r="R19" s="67">
        <f t="shared" si="1"/>
        <v>0</v>
      </c>
      <c r="S19" s="86"/>
      <c r="T19" s="86"/>
      <c r="U19" s="86"/>
      <c r="V19" s="86"/>
      <c r="W19" s="66">
        <f t="shared" si="2"/>
        <v>0</v>
      </c>
      <c r="X19" s="97"/>
      <c r="Y19" s="68">
        <f t="shared" si="3"/>
        <v>0</v>
      </c>
      <c r="Z19" s="68">
        <f t="shared" si="4"/>
        <v>0</v>
      </c>
      <c r="AA19" s="72"/>
      <c r="AB19" s="68">
        <f t="shared" si="7"/>
        <v>0</v>
      </c>
      <c r="AC19" s="68">
        <f t="shared" si="8"/>
        <v>0</v>
      </c>
      <c r="AD19" s="68"/>
      <c r="AE19" s="55"/>
      <c r="AF19" s="69">
        <f t="shared" si="5"/>
        <v>0</v>
      </c>
      <c r="AG19" s="86"/>
      <c r="AH19" s="108"/>
      <c r="AI19" s="108"/>
      <c r="AJ19" s="108"/>
      <c r="AK19" s="70">
        <f t="shared" si="9"/>
        <v>0</v>
      </c>
      <c r="AL19" s="71"/>
      <c r="AM19" s="48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</row>
    <row r="20" spans="1:115" ht="15" customHeight="1" x14ac:dyDescent="0.3">
      <c r="A20" s="65"/>
      <c r="B20" s="109"/>
      <c r="C20" s="110"/>
      <c r="D20" s="110"/>
      <c r="E20" s="111"/>
      <c r="F20" s="85"/>
      <c r="G20" s="86"/>
      <c r="H20" s="86"/>
      <c r="I20" s="86"/>
      <c r="J20" s="86"/>
      <c r="K20" s="86"/>
      <c r="L20" s="86"/>
      <c r="M20" s="86"/>
      <c r="N20" s="86"/>
      <c r="O20" s="86"/>
      <c r="P20" s="86"/>
      <c r="Q20" s="67">
        <f t="shared" si="0"/>
        <v>0</v>
      </c>
      <c r="R20" s="67">
        <f t="shared" si="1"/>
        <v>0</v>
      </c>
      <c r="S20" s="86"/>
      <c r="T20" s="86"/>
      <c r="U20" s="86"/>
      <c r="V20" s="86"/>
      <c r="W20" s="66">
        <f t="shared" si="2"/>
        <v>0</v>
      </c>
      <c r="X20" s="98"/>
      <c r="Y20" s="68">
        <f t="shared" si="3"/>
        <v>0</v>
      </c>
      <c r="Z20" s="68">
        <f t="shared" si="4"/>
        <v>0</v>
      </c>
      <c r="AA20" s="72"/>
      <c r="AB20" s="68">
        <f t="shared" si="7"/>
        <v>0</v>
      </c>
      <c r="AC20" s="68">
        <f t="shared" si="8"/>
        <v>0</v>
      </c>
      <c r="AD20" s="68"/>
      <c r="AE20" s="55"/>
      <c r="AF20" s="69">
        <f t="shared" si="5"/>
        <v>0</v>
      </c>
      <c r="AG20" s="86"/>
      <c r="AH20" s="108"/>
      <c r="AI20" s="108"/>
      <c r="AJ20" s="108"/>
      <c r="AK20" s="70">
        <f t="shared" si="9"/>
        <v>0</v>
      </c>
      <c r="AL20" s="71"/>
      <c r="AM20" s="48"/>
      <c r="AN20" s="5"/>
      <c r="AO20" s="5"/>
      <c r="AP20" s="5"/>
      <c r="AQ20" s="5"/>
      <c r="AR20" s="7"/>
      <c r="AS20" s="7"/>
      <c r="AT20" s="7"/>
      <c r="AU20" s="7"/>
      <c r="AV20" s="7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</row>
    <row r="21" spans="1:115" s="42" customFormat="1" ht="15" customHeight="1" x14ac:dyDescent="0.3">
      <c r="A21" s="65"/>
      <c r="B21" s="109"/>
      <c r="C21" s="110"/>
      <c r="D21" s="110"/>
      <c r="E21" s="111"/>
      <c r="F21" s="85"/>
      <c r="G21" s="86"/>
      <c r="H21" s="86"/>
      <c r="I21" s="86"/>
      <c r="J21" s="86"/>
      <c r="K21" s="86"/>
      <c r="L21" s="86"/>
      <c r="M21" s="86"/>
      <c r="N21" s="86"/>
      <c r="O21" s="86"/>
      <c r="P21" s="87"/>
      <c r="Q21" s="67">
        <f t="shared" si="0"/>
        <v>0</v>
      </c>
      <c r="R21" s="67">
        <f t="shared" si="1"/>
        <v>0</v>
      </c>
      <c r="S21" s="86"/>
      <c r="T21" s="86"/>
      <c r="U21" s="86"/>
      <c r="V21" s="86"/>
      <c r="W21" s="66">
        <f t="shared" si="2"/>
        <v>0</v>
      </c>
      <c r="X21" s="99"/>
      <c r="Y21" s="68">
        <f t="shared" si="3"/>
        <v>0</v>
      </c>
      <c r="Z21" s="68">
        <f t="shared" si="4"/>
        <v>0</v>
      </c>
      <c r="AA21" s="72"/>
      <c r="AB21" s="68">
        <f t="shared" si="7"/>
        <v>0</v>
      </c>
      <c r="AC21" s="68">
        <f t="shared" si="8"/>
        <v>0</v>
      </c>
      <c r="AD21" s="68"/>
      <c r="AE21" s="55"/>
      <c r="AF21" s="69">
        <f t="shared" si="5"/>
        <v>0</v>
      </c>
      <c r="AG21" s="86"/>
      <c r="AH21" s="108"/>
      <c r="AI21" s="108"/>
      <c r="AJ21" s="108"/>
      <c r="AK21" s="70">
        <f t="shared" si="9"/>
        <v>0</v>
      </c>
      <c r="AL21" s="71"/>
      <c r="AM21" s="48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</row>
    <row r="22" spans="1:115" ht="15" customHeight="1" x14ac:dyDescent="0.3">
      <c r="A22" s="65"/>
      <c r="B22" s="109"/>
      <c r="C22" s="110"/>
      <c r="D22" s="110"/>
      <c r="E22" s="111"/>
      <c r="F22" s="85"/>
      <c r="G22" s="86"/>
      <c r="H22" s="86"/>
      <c r="I22" s="86"/>
      <c r="J22" s="86"/>
      <c r="K22" s="86"/>
      <c r="L22" s="86"/>
      <c r="M22" s="86"/>
      <c r="N22" s="86"/>
      <c r="O22" s="86"/>
      <c r="P22" s="86"/>
      <c r="Q22" s="67">
        <f t="shared" si="0"/>
        <v>0</v>
      </c>
      <c r="R22" s="67">
        <f t="shared" si="1"/>
        <v>0</v>
      </c>
      <c r="S22" s="86"/>
      <c r="T22" s="86"/>
      <c r="U22" s="86"/>
      <c r="V22" s="86"/>
      <c r="W22" s="66">
        <f t="shared" si="2"/>
        <v>0</v>
      </c>
      <c r="X22" s="98"/>
      <c r="Y22" s="68">
        <f t="shared" si="3"/>
        <v>0</v>
      </c>
      <c r="Z22" s="68">
        <f t="shared" si="4"/>
        <v>0</v>
      </c>
      <c r="AA22" s="72"/>
      <c r="AB22" s="68">
        <f t="shared" si="7"/>
        <v>0</v>
      </c>
      <c r="AC22" s="68">
        <f t="shared" si="8"/>
        <v>0</v>
      </c>
      <c r="AD22" s="68"/>
      <c r="AE22" s="55"/>
      <c r="AF22" s="69">
        <f t="shared" si="5"/>
        <v>0</v>
      </c>
      <c r="AG22" s="86"/>
      <c r="AH22" s="108"/>
      <c r="AI22" s="108"/>
      <c r="AJ22" s="108"/>
      <c r="AK22" s="70">
        <f t="shared" si="9"/>
        <v>0</v>
      </c>
      <c r="AL22" s="71"/>
      <c r="AM22" s="48"/>
      <c r="AN22" s="5"/>
      <c r="AO22" s="5"/>
      <c r="AP22" s="5"/>
      <c r="AQ22" s="5"/>
      <c r="AR22" s="7"/>
      <c r="AS22" s="7"/>
      <c r="AT22" s="7"/>
      <c r="AU22" s="7"/>
      <c r="AV22" s="7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</row>
    <row r="23" spans="1:115" ht="15" customHeight="1" x14ac:dyDescent="0.3">
      <c r="A23" s="65"/>
      <c r="B23" s="109"/>
      <c r="C23" s="110"/>
      <c r="D23" s="110"/>
      <c r="E23" s="111"/>
      <c r="F23" s="85"/>
      <c r="G23" s="86"/>
      <c r="H23" s="86"/>
      <c r="I23" s="86"/>
      <c r="J23" s="86"/>
      <c r="K23" s="86"/>
      <c r="L23" s="86"/>
      <c r="M23" s="86"/>
      <c r="N23" s="86"/>
      <c r="O23" s="86"/>
      <c r="P23" s="86"/>
      <c r="Q23" s="67">
        <f t="shared" ref="Q23:Q40" si="10">P23*0.02</f>
        <v>0</v>
      </c>
      <c r="R23" s="67">
        <f t="shared" ref="R23:R40" si="11">P23+Q23</f>
        <v>0</v>
      </c>
      <c r="S23" s="86"/>
      <c r="T23" s="86"/>
      <c r="U23" s="86"/>
      <c r="V23" s="86"/>
      <c r="W23" s="66">
        <f t="shared" ref="W23:W40" si="12">G23+I23+K23+M23+O23+R23+S23+T23+U23+V23</f>
        <v>0</v>
      </c>
      <c r="X23" s="98"/>
      <c r="Y23" s="68">
        <f t="shared" ref="Y23:Y40" si="13">X23*0.02</f>
        <v>0</v>
      </c>
      <c r="Z23" s="68">
        <f t="shared" ref="Z23:Z40" si="14">X23+Y23</f>
        <v>0</v>
      </c>
      <c r="AA23" s="72"/>
      <c r="AB23" s="68">
        <f t="shared" ref="AB23:AB40" si="15">AA23*0.025</f>
        <v>0</v>
      </c>
      <c r="AC23" s="68">
        <f t="shared" ref="AC23:AC40" si="16">AA23+AB23</f>
        <v>0</v>
      </c>
      <c r="AD23" s="68"/>
      <c r="AE23" s="55"/>
      <c r="AF23" s="69">
        <f t="shared" ref="AF23:AF40" si="17">W23+Z23+AC23+AD23+AE23</f>
        <v>0</v>
      </c>
      <c r="AG23" s="86"/>
      <c r="AH23" s="108"/>
      <c r="AI23" s="108"/>
      <c r="AJ23" s="108"/>
      <c r="AK23" s="70">
        <f t="shared" ref="AK23:AK40" si="18">AF23-AG23-AH23-AI23-AJ23</f>
        <v>0</v>
      </c>
      <c r="AL23" s="71"/>
      <c r="AM23" s="48"/>
      <c r="AN23" s="5"/>
      <c r="AO23" s="5"/>
      <c r="AP23" s="5"/>
      <c r="AQ23" s="5"/>
      <c r="AR23" s="7"/>
      <c r="AS23" s="7"/>
      <c r="AT23" s="7"/>
      <c r="AU23" s="7"/>
      <c r="AV23" s="7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</row>
    <row r="24" spans="1:115" ht="15" customHeight="1" x14ac:dyDescent="0.3">
      <c r="A24" s="65"/>
      <c r="B24" s="109"/>
      <c r="C24" s="110"/>
      <c r="D24" s="110"/>
      <c r="E24" s="111"/>
      <c r="F24" s="85"/>
      <c r="G24" s="86"/>
      <c r="H24" s="86"/>
      <c r="I24" s="86"/>
      <c r="J24" s="86"/>
      <c r="K24" s="86"/>
      <c r="L24" s="86"/>
      <c r="M24" s="86"/>
      <c r="N24" s="86"/>
      <c r="O24" s="86"/>
      <c r="P24" s="86"/>
      <c r="Q24" s="67">
        <f t="shared" si="10"/>
        <v>0</v>
      </c>
      <c r="R24" s="67">
        <f t="shared" si="11"/>
        <v>0</v>
      </c>
      <c r="S24" s="86"/>
      <c r="T24" s="86"/>
      <c r="U24" s="86"/>
      <c r="V24" s="86"/>
      <c r="W24" s="66">
        <f t="shared" si="12"/>
        <v>0</v>
      </c>
      <c r="X24" s="98"/>
      <c r="Y24" s="68">
        <f t="shared" si="13"/>
        <v>0</v>
      </c>
      <c r="Z24" s="68">
        <f t="shared" si="14"/>
        <v>0</v>
      </c>
      <c r="AA24" s="72"/>
      <c r="AB24" s="68">
        <f t="shared" si="15"/>
        <v>0</v>
      </c>
      <c r="AC24" s="68">
        <f t="shared" si="16"/>
        <v>0</v>
      </c>
      <c r="AD24" s="68"/>
      <c r="AE24" s="55"/>
      <c r="AF24" s="69">
        <f t="shared" si="17"/>
        <v>0</v>
      </c>
      <c r="AG24" s="86"/>
      <c r="AH24" s="108"/>
      <c r="AI24" s="108"/>
      <c r="AJ24" s="108"/>
      <c r="AK24" s="70">
        <f t="shared" si="18"/>
        <v>0</v>
      </c>
      <c r="AL24" s="71"/>
      <c r="AM24" s="48"/>
      <c r="AN24" s="5"/>
      <c r="AO24" s="5"/>
      <c r="AP24" s="5"/>
      <c r="AQ24" s="5"/>
      <c r="AR24" s="7"/>
      <c r="AS24" s="7"/>
      <c r="AT24" s="7"/>
      <c r="AU24" s="7"/>
      <c r="AV24" s="7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</row>
    <row r="25" spans="1:115" ht="15" customHeight="1" x14ac:dyDescent="0.3">
      <c r="A25" s="65"/>
      <c r="B25" s="109"/>
      <c r="C25" s="110"/>
      <c r="D25" s="110"/>
      <c r="E25" s="111"/>
      <c r="F25" s="85"/>
      <c r="G25" s="86"/>
      <c r="H25" s="86"/>
      <c r="I25" s="86"/>
      <c r="J25" s="86"/>
      <c r="K25" s="86"/>
      <c r="L25" s="86"/>
      <c r="M25" s="86"/>
      <c r="N25" s="86"/>
      <c r="O25" s="86"/>
      <c r="P25" s="86"/>
      <c r="Q25" s="67">
        <f t="shared" si="10"/>
        <v>0</v>
      </c>
      <c r="R25" s="67">
        <f t="shared" si="11"/>
        <v>0</v>
      </c>
      <c r="S25" s="86"/>
      <c r="T25" s="86"/>
      <c r="U25" s="86"/>
      <c r="V25" s="86"/>
      <c r="W25" s="66">
        <f t="shared" si="12"/>
        <v>0</v>
      </c>
      <c r="X25" s="98"/>
      <c r="Y25" s="68">
        <f t="shared" si="13"/>
        <v>0</v>
      </c>
      <c r="Z25" s="68">
        <f t="shared" si="14"/>
        <v>0</v>
      </c>
      <c r="AA25" s="72"/>
      <c r="AB25" s="68">
        <f t="shared" si="15"/>
        <v>0</v>
      </c>
      <c r="AC25" s="68">
        <f t="shared" si="16"/>
        <v>0</v>
      </c>
      <c r="AD25" s="68"/>
      <c r="AE25" s="55"/>
      <c r="AF25" s="69">
        <f t="shared" si="17"/>
        <v>0</v>
      </c>
      <c r="AG25" s="86"/>
      <c r="AH25" s="108"/>
      <c r="AI25" s="108"/>
      <c r="AJ25" s="108"/>
      <c r="AK25" s="70">
        <f t="shared" si="18"/>
        <v>0</v>
      </c>
      <c r="AL25" s="71"/>
      <c r="AM25" s="48"/>
      <c r="AN25" s="5"/>
      <c r="AO25" s="5"/>
      <c r="AP25" s="5"/>
      <c r="AQ25" s="5"/>
      <c r="AR25" s="7"/>
      <c r="AS25" s="7"/>
      <c r="AT25" s="7"/>
      <c r="AU25" s="7"/>
      <c r="AV25" s="7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</row>
    <row r="26" spans="1:115" ht="15" customHeight="1" x14ac:dyDescent="0.3">
      <c r="A26" s="65"/>
      <c r="B26" s="109"/>
      <c r="C26" s="110"/>
      <c r="D26" s="110"/>
      <c r="E26" s="111"/>
      <c r="F26" s="85"/>
      <c r="G26" s="86"/>
      <c r="H26" s="86"/>
      <c r="I26" s="86"/>
      <c r="J26" s="86"/>
      <c r="K26" s="86"/>
      <c r="L26" s="86"/>
      <c r="M26" s="86"/>
      <c r="N26" s="86"/>
      <c r="O26" s="86"/>
      <c r="P26" s="86"/>
      <c r="Q26" s="67">
        <f t="shared" si="10"/>
        <v>0</v>
      </c>
      <c r="R26" s="67">
        <f t="shared" si="11"/>
        <v>0</v>
      </c>
      <c r="S26" s="86"/>
      <c r="T26" s="86"/>
      <c r="U26" s="86"/>
      <c r="V26" s="86"/>
      <c r="W26" s="66">
        <f t="shared" si="12"/>
        <v>0</v>
      </c>
      <c r="X26" s="98"/>
      <c r="Y26" s="68">
        <f t="shared" si="13"/>
        <v>0</v>
      </c>
      <c r="Z26" s="68">
        <f t="shared" si="14"/>
        <v>0</v>
      </c>
      <c r="AA26" s="72"/>
      <c r="AB26" s="68">
        <f t="shared" si="15"/>
        <v>0</v>
      </c>
      <c r="AC26" s="68">
        <f t="shared" si="16"/>
        <v>0</v>
      </c>
      <c r="AD26" s="68"/>
      <c r="AE26" s="55"/>
      <c r="AF26" s="69">
        <f t="shared" si="17"/>
        <v>0</v>
      </c>
      <c r="AG26" s="86"/>
      <c r="AH26" s="108"/>
      <c r="AI26" s="108"/>
      <c r="AJ26" s="108"/>
      <c r="AK26" s="70">
        <f t="shared" si="18"/>
        <v>0</v>
      </c>
      <c r="AL26" s="71"/>
      <c r="AM26" s="48"/>
      <c r="AN26" s="5"/>
      <c r="AO26" s="5"/>
      <c r="AP26" s="5"/>
      <c r="AQ26" s="5"/>
      <c r="AR26" s="7"/>
      <c r="AS26" s="7"/>
      <c r="AT26" s="7"/>
      <c r="AU26" s="7"/>
      <c r="AV26" s="7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</row>
    <row r="27" spans="1:115" ht="15" customHeight="1" x14ac:dyDescent="0.3">
      <c r="A27" s="65"/>
      <c r="B27" s="109"/>
      <c r="C27" s="110"/>
      <c r="D27" s="110"/>
      <c r="E27" s="111"/>
      <c r="F27" s="85"/>
      <c r="G27" s="86"/>
      <c r="H27" s="86"/>
      <c r="I27" s="86"/>
      <c r="J27" s="86"/>
      <c r="K27" s="86"/>
      <c r="L27" s="86"/>
      <c r="M27" s="86"/>
      <c r="N27" s="86"/>
      <c r="O27" s="86"/>
      <c r="P27" s="86"/>
      <c r="Q27" s="67">
        <f t="shared" si="10"/>
        <v>0</v>
      </c>
      <c r="R27" s="67">
        <f t="shared" si="11"/>
        <v>0</v>
      </c>
      <c r="S27" s="86"/>
      <c r="T27" s="86"/>
      <c r="U27" s="86"/>
      <c r="V27" s="86"/>
      <c r="W27" s="66">
        <f t="shared" si="12"/>
        <v>0</v>
      </c>
      <c r="X27" s="98"/>
      <c r="Y27" s="68">
        <f t="shared" si="13"/>
        <v>0</v>
      </c>
      <c r="Z27" s="68">
        <f t="shared" si="14"/>
        <v>0</v>
      </c>
      <c r="AA27" s="72"/>
      <c r="AB27" s="68">
        <f t="shared" si="15"/>
        <v>0</v>
      </c>
      <c r="AC27" s="68">
        <f t="shared" si="16"/>
        <v>0</v>
      </c>
      <c r="AD27" s="68"/>
      <c r="AE27" s="55"/>
      <c r="AF27" s="69">
        <f t="shared" si="17"/>
        <v>0</v>
      </c>
      <c r="AG27" s="86"/>
      <c r="AH27" s="108"/>
      <c r="AI27" s="108"/>
      <c r="AJ27" s="108"/>
      <c r="AK27" s="70">
        <f t="shared" si="18"/>
        <v>0</v>
      </c>
      <c r="AL27" s="71"/>
      <c r="AM27" s="48"/>
      <c r="AN27" s="5"/>
      <c r="AO27" s="5"/>
      <c r="AP27" s="5"/>
      <c r="AQ27" s="5"/>
      <c r="AR27" s="7"/>
      <c r="AS27" s="7"/>
      <c r="AT27" s="7"/>
      <c r="AU27" s="7"/>
      <c r="AV27" s="7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</row>
    <row r="28" spans="1:115" ht="15" customHeight="1" x14ac:dyDescent="0.3">
      <c r="A28" s="65"/>
      <c r="B28" s="109"/>
      <c r="C28" s="110"/>
      <c r="D28" s="110"/>
      <c r="E28" s="111"/>
      <c r="F28" s="85"/>
      <c r="G28" s="86"/>
      <c r="H28" s="86"/>
      <c r="I28" s="86"/>
      <c r="J28" s="86"/>
      <c r="K28" s="86"/>
      <c r="L28" s="86"/>
      <c r="M28" s="86"/>
      <c r="N28" s="86"/>
      <c r="O28" s="86"/>
      <c r="P28" s="86"/>
      <c r="Q28" s="67">
        <f t="shared" si="10"/>
        <v>0</v>
      </c>
      <c r="R28" s="67">
        <f t="shared" si="11"/>
        <v>0</v>
      </c>
      <c r="S28" s="86"/>
      <c r="T28" s="86"/>
      <c r="U28" s="86"/>
      <c r="V28" s="86"/>
      <c r="W28" s="66">
        <f t="shared" si="12"/>
        <v>0</v>
      </c>
      <c r="X28" s="98"/>
      <c r="Y28" s="68">
        <f t="shared" si="13"/>
        <v>0</v>
      </c>
      <c r="Z28" s="68">
        <f t="shared" si="14"/>
        <v>0</v>
      </c>
      <c r="AA28" s="72"/>
      <c r="AB28" s="68">
        <f t="shared" si="15"/>
        <v>0</v>
      </c>
      <c r="AC28" s="68">
        <f t="shared" si="16"/>
        <v>0</v>
      </c>
      <c r="AD28" s="68"/>
      <c r="AE28" s="55"/>
      <c r="AF28" s="69">
        <f t="shared" si="17"/>
        <v>0</v>
      </c>
      <c r="AG28" s="86"/>
      <c r="AH28" s="108"/>
      <c r="AI28" s="108"/>
      <c r="AJ28" s="108"/>
      <c r="AK28" s="70">
        <f t="shared" si="18"/>
        <v>0</v>
      </c>
      <c r="AL28" s="71"/>
      <c r="AM28" s="48"/>
      <c r="AN28" s="5"/>
      <c r="AO28" s="5"/>
      <c r="AP28" s="5"/>
      <c r="AQ28" s="5"/>
      <c r="AR28" s="7"/>
      <c r="AS28" s="7"/>
      <c r="AT28" s="7"/>
      <c r="AU28" s="7"/>
      <c r="AV28" s="7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</row>
    <row r="29" spans="1:115" ht="15" customHeight="1" x14ac:dyDescent="0.3">
      <c r="A29" s="65"/>
      <c r="B29" s="109"/>
      <c r="C29" s="110"/>
      <c r="D29" s="110"/>
      <c r="E29" s="111"/>
      <c r="F29" s="85"/>
      <c r="G29" s="86"/>
      <c r="H29" s="86"/>
      <c r="I29" s="86"/>
      <c r="J29" s="86"/>
      <c r="K29" s="86"/>
      <c r="L29" s="86"/>
      <c r="M29" s="86"/>
      <c r="N29" s="86"/>
      <c r="O29" s="86"/>
      <c r="P29" s="86"/>
      <c r="Q29" s="67">
        <f t="shared" si="10"/>
        <v>0</v>
      </c>
      <c r="R29" s="67">
        <f t="shared" si="11"/>
        <v>0</v>
      </c>
      <c r="S29" s="86"/>
      <c r="T29" s="86"/>
      <c r="U29" s="86"/>
      <c r="V29" s="86"/>
      <c r="W29" s="66">
        <f t="shared" si="12"/>
        <v>0</v>
      </c>
      <c r="X29" s="98"/>
      <c r="Y29" s="68">
        <f t="shared" si="13"/>
        <v>0</v>
      </c>
      <c r="Z29" s="68">
        <f t="shared" si="14"/>
        <v>0</v>
      </c>
      <c r="AA29" s="72"/>
      <c r="AB29" s="68">
        <f t="shared" si="15"/>
        <v>0</v>
      </c>
      <c r="AC29" s="68">
        <f t="shared" si="16"/>
        <v>0</v>
      </c>
      <c r="AD29" s="68"/>
      <c r="AE29" s="55"/>
      <c r="AF29" s="69">
        <f t="shared" si="17"/>
        <v>0</v>
      </c>
      <c r="AG29" s="86"/>
      <c r="AH29" s="108"/>
      <c r="AI29" s="108"/>
      <c r="AJ29" s="108"/>
      <c r="AK29" s="70">
        <f t="shared" si="18"/>
        <v>0</v>
      </c>
      <c r="AL29" s="71"/>
      <c r="AM29" s="48"/>
      <c r="AN29" s="5"/>
      <c r="AO29" s="5"/>
      <c r="AP29" s="5"/>
      <c r="AQ29" s="5"/>
      <c r="AR29" s="7"/>
      <c r="AS29" s="7"/>
      <c r="AT29" s="7"/>
      <c r="AU29" s="7"/>
      <c r="AV29" s="7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</row>
    <row r="30" spans="1:115" ht="15" customHeight="1" x14ac:dyDescent="0.3">
      <c r="A30" s="65"/>
      <c r="B30" s="109"/>
      <c r="C30" s="110"/>
      <c r="D30" s="110"/>
      <c r="E30" s="111"/>
      <c r="F30" s="85"/>
      <c r="G30" s="86"/>
      <c r="H30" s="86"/>
      <c r="I30" s="86"/>
      <c r="J30" s="86"/>
      <c r="K30" s="86"/>
      <c r="L30" s="86"/>
      <c r="M30" s="86"/>
      <c r="N30" s="86"/>
      <c r="O30" s="86"/>
      <c r="P30" s="86"/>
      <c r="Q30" s="67">
        <f t="shared" si="10"/>
        <v>0</v>
      </c>
      <c r="R30" s="67">
        <f t="shared" si="11"/>
        <v>0</v>
      </c>
      <c r="S30" s="86"/>
      <c r="T30" s="86"/>
      <c r="U30" s="86"/>
      <c r="V30" s="86"/>
      <c r="W30" s="66">
        <f t="shared" si="12"/>
        <v>0</v>
      </c>
      <c r="X30" s="98"/>
      <c r="Y30" s="68">
        <f t="shared" si="13"/>
        <v>0</v>
      </c>
      <c r="Z30" s="68">
        <f t="shared" si="14"/>
        <v>0</v>
      </c>
      <c r="AA30" s="72"/>
      <c r="AB30" s="68">
        <f t="shared" si="15"/>
        <v>0</v>
      </c>
      <c r="AC30" s="68">
        <f t="shared" si="16"/>
        <v>0</v>
      </c>
      <c r="AD30" s="68"/>
      <c r="AE30" s="55"/>
      <c r="AF30" s="69">
        <f t="shared" si="17"/>
        <v>0</v>
      </c>
      <c r="AG30" s="86"/>
      <c r="AH30" s="108"/>
      <c r="AI30" s="108"/>
      <c r="AJ30" s="108"/>
      <c r="AK30" s="70">
        <f t="shared" si="18"/>
        <v>0</v>
      </c>
      <c r="AL30" s="71"/>
      <c r="AM30" s="48"/>
      <c r="AN30" s="5"/>
      <c r="AO30" s="5"/>
      <c r="AP30" s="5"/>
      <c r="AQ30" s="5"/>
      <c r="AR30" s="7"/>
      <c r="AS30" s="7"/>
      <c r="AT30" s="7"/>
      <c r="AU30" s="7"/>
      <c r="AV30" s="7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</row>
    <row r="31" spans="1:115" ht="15" customHeight="1" x14ac:dyDescent="0.3">
      <c r="A31" s="65"/>
      <c r="B31" s="109"/>
      <c r="C31" s="110"/>
      <c r="D31" s="110"/>
      <c r="E31" s="111"/>
      <c r="F31" s="85"/>
      <c r="G31" s="86"/>
      <c r="H31" s="86"/>
      <c r="I31" s="86"/>
      <c r="J31" s="86"/>
      <c r="K31" s="86"/>
      <c r="L31" s="86"/>
      <c r="M31" s="86"/>
      <c r="N31" s="86"/>
      <c r="O31" s="86"/>
      <c r="P31" s="86"/>
      <c r="Q31" s="67">
        <f t="shared" si="10"/>
        <v>0</v>
      </c>
      <c r="R31" s="67">
        <f t="shared" si="11"/>
        <v>0</v>
      </c>
      <c r="S31" s="86"/>
      <c r="T31" s="86"/>
      <c r="U31" s="86"/>
      <c r="V31" s="86"/>
      <c r="W31" s="66">
        <f t="shared" si="12"/>
        <v>0</v>
      </c>
      <c r="X31" s="98"/>
      <c r="Y31" s="68">
        <f t="shared" si="13"/>
        <v>0</v>
      </c>
      <c r="Z31" s="68">
        <f t="shared" si="14"/>
        <v>0</v>
      </c>
      <c r="AA31" s="72"/>
      <c r="AB31" s="68">
        <f t="shared" si="15"/>
        <v>0</v>
      </c>
      <c r="AC31" s="68">
        <f t="shared" si="16"/>
        <v>0</v>
      </c>
      <c r="AD31" s="68"/>
      <c r="AE31" s="55"/>
      <c r="AF31" s="69">
        <f t="shared" si="17"/>
        <v>0</v>
      </c>
      <c r="AG31" s="86"/>
      <c r="AH31" s="108"/>
      <c r="AI31" s="108"/>
      <c r="AJ31" s="108"/>
      <c r="AK31" s="70">
        <f t="shared" si="18"/>
        <v>0</v>
      </c>
      <c r="AL31" s="71"/>
      <c r="AM31" s="48"/>
      <c r="AN31" s="5"/>
      <c r="AO31" s="5"/>
      <c r="AP31" s="5"/>
      <c r="AQ31" s="5"/>
      <c r="AR31" s="7"/>
      <c r="AS31" s="7"/>
      <c r="AT31" s="7"/>
      <c r="AU31" s="7"/>
      <c r="AV31" s="7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</row>
    <row r="32" spans="1:115" ht="15" customHeight="1" x14ac:dyDescent="0.3">
      <c r="A32" s="65"/>
      <c r="B32" s="109"/>
      <c r="C32" s="110"/>
      <c r="D32" s="110"/>
      <c r="E32" s="111"/>
      <c r="F32" s="85"/>
      <c r="G32" s="86"/>
      <c r="H32" s="86"/>
      <c r="I32" s="86"/>
      <c r="J32" s="86"/>
      <c r="K32" s="86"/>
      <c r="L32" s="86"/>
      <c r="M32" s="86"/>
      <c r="N32" s="86"/>
      <c r="O32" s="86"/>
      <c r="P32" s="86"/>
      <c r="Q32" s="67">
        <f t="shared" si="10"/>
        <v>0</v>
      </c>
      <c r="R32" s="67">
        <f t="shared" si="11"/>
        <v>0</v>
      </c>
      <c r="S32" s="86"/>
      <c r="T32" s="86"/>
      <c r="U32" s="86"/>
      <c r="V32" s="86"/>
      <c r="W32" s="66">
        <f t="shared" si="12"/>
        <v>0</v>
      </c>
      <c r="X32" s="98"/>
      <c r="Y32" s="68">
        <f t="shared" si="13"/>
        <v>0</v>
      </c>
      <c r="Z32" s="68">
        <f t="shared" si="14"/>
        <v>0</v>
      </c>
      <c r="AA32" s="72"/>
      <c r="AB32" s="68">
        <f t="shared" si="15"/>
        <v>0</v>
      </c>
      <c r="AC32" s="68">
        <f t="shared" si="16"/>
        <v>0</v>
      </c>
      <c r="AD32" s="68"/>
      <c r="AE32" s="55"/>
      <c r="AF32" s="69">
        <f t="shared" si="17"/>
        <v>0</v>
      </c>
      <c r="AG32" s="86"/>
      <c r="AH32" s="108"/>
      <c r="AI32" s="108"/>
      <c r="AJ32" s="108"/>
      <c r="AK32" s="70">
        <f t="shared" si="18"/>
        <v>0</v>
      </c>
      <c r="AL32" s="71"/>
      <c r="AM32" s="48"/>
      <c r="AN32" s="5"/>
      <c r="AO32" s="5"/>
      <c r="AP32" s="5"/>
      <c r="AQ32" s="5"/>
      <c r="AR32" s="7"/>
      <c r="AS32" s="7"/>
      <c r="AT32" s="7"/>
      <c r="AU32" s="7"/>
      <c r="AV32" s="7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</row>
    <row r="33" spans="1:115" ht="15" customHeight="1" x14ac:dyDescent="0.3">
      <c r="A33" s="65"/>
      <c r="B33" s="109"/>
      <c r="C33" s="110"/>
      <c r="D33" s="110"/>
      <c r="E33" s="111"/>
      <c r="F33" s="85"/>
      <c r="G33" s="86"/>
      <c r="H33" s="86"/>
      <c r="I33" s="86"/>
      <c r="J33" s="86"/>
      <c r="K33" s="86"/>
      <c r="L33" s="86"/>
      <c r="M33" s="86"/>
      <c r="N33" s="86"/>
      <c r="O33" s="86"/>
      <c r="P33" s="86"/>
      <c r="Q33" s="67">
        <f t="shared" si="10"/>
        <v>0</v>
      </c>
      <c r="R33" s="67">
        <f t="shared" si="11"/>
        <v>0</v>
      </c>
      <c r="S33" s="86"/>
      <c r="T33" s="86"/>
      <c r="U33" s="86"/>
      <c r="V33" s="86"/>
      <c r="W33" s="66">
        <f t="shared" si="12"/>
        <v>0</v>
      </c>
      <c r="X33" s="98"/>
      <c r="Y33" s="68">
        <f t="shared" si="13"/>
        <v>0</v>
      </c>
      <c r="Z33" s="68">
        <f t="shared" si="14"/>
        <v>0</v>
      </c>
      <c r="AA33" s="72"/>
      <c r="AB33" s="68">
        <f t="shared" si="15"/>
        <v>0</v>
      </c>
      <c r="AC33" s="68">
        <f t="shared" si="16"/>
        <v>0</v>
      </c>
      <c r="AD33" s="68"/>
      <c r="AE33" s="55"/>
      <c r="AF33" s="69">
        <f t="shared" si="17"/>
        <v>0</v>
      </c>
      <c r="AG33" s="86"/>
      <c r="AH33" s="108"/>
      <c r="AI33" s="108"/>
      <c r="AJ33" s="108"/>
      <c r="AK33" s="70">
        <f t="shared" si="18"/>
        <v>0</v>
      </c>
      <c r="AL33" s="71"/>
      <c r="AM33" s="48"/>
      <c r="AN33" s="5"/>
      <c r="AO33" s="5"/>
      <c r="AP33" s="5"/>
      <c r="AQ33" s="5"/>
      <c r="AR33" s="7"/>
      <c r="AS33" s="7"/>
      <c r="AT33" s="7"/>
      <c r="AU33" s="7"/>
      <c r="AV33" s="7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</row>
    <row r="34" spans="1:115" ht="15" customHeight="1" x14ac:dyDescent="0.3">
      <c r="A34" s="65"/>
      <c r="B34" s="109"/>
      <c r="C34" s="110"/>
      <c r="D34" s="110"/>
      <c r="E34" s="111"/>
      <c r="F34" s="85"/>
      <c r="G34" s="86"/>
      <c r="H34" s="86"/>
      <c r="I34" s="86"/>
      <c r="J34" s="86"/>
      <c r="K34" s="86"/>
      <c r="L34" s="86"/>
      <c r="M34" s="86"/>
      <c r="N34" s="86"/>
      <c r="O34" s="86"/>
      <c r="P34" s="86"/>
      <c r="Q34" s="67">
        <f t="shared" si="10"/>
        <v>0</v>
      </c>
      <c r="R34" s="67">
        <f t="shared" si="11"/>
        <v>0</v>
      </c>
      <c r="S34" s="86"/>
      <c r="T34" s="86"/>
      <c r="U34" s="86"/>
      <c r="V34" s="86"/>
      <c r="W34" s="66">
        <f t="shared" si="12"/>
        <v>0</v>
      </c>
      <c r="X34" s="98"/>
      <c r="Y34" s="68">
        <f t="shared" si="13"/>
        <v>0</v>
      </c>
      <c r="Z34" s="68">
        <f t="shared" si="14"/>
        <v>0</v>
      </c>
      <c r="AA34" s="72"/>
      <c r="AB34" s="68">
        <f t="shared" si="15"/>
        <v>0</v>
      </c>
      <c r="AC34" s="68">
        <f t="shared" si="16"/>
        <v>0</v>
      </c>
      <c r="AD34" s="68"/>
      <c r="AE34" s="55"/>
      <c r="AF34" s="69">
        <f t="shared" si="17"/>
        <v>0</v>
      </c>
      <c r="AG34" s="86"/>
      <c r="AH34" s="108"/>
      <c r="AI34" s="108"/>
      <c r="AJ34" s="108"/>
      <c r="AK34" s="70">
        <f t="shared" si="18"/>
        <v>0</v>
      </c>
      <c r="AL34" s="71"/>
      <c r="AM34" s="48"/>
      <c r="AN34" s="5"/>
      <c r="AO34" s="5"/>
      <c r="AP34" s="5"/>
      <c r="AQ34" s="5"/>
      <c r="AR34" s="7"/>
      <c r="AS34" s="7"/>
      <c r="AT34" s="7"/>
      <c r="AU34" s="7"/>
      <c r="AV34" s="7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</row>
    <row r="35" spans="1:115" ht="15" customHeight="1" x14ac:dyDescent="0.3">
      <c r="A35" s="65"/>
      <c r="B35" s="109"/>
      <c r="C35" s="110"/>
      <c r="D35" s="110"/>
      <c r="E35" s="111"/>
      <c r="F35" s="85"/>
      <c r="G35" s="86"/>
      <c r="H35" s="86"/>
      <c r="I35" s="86"/>
      <c r="J35" s="86"/>
      <c r="K35" s="86"/>
      <c r="L35" s="86"/>
      <c r="M35" s="86"/>
      <c r="N35" s="86"/>
      <c r="O35" s="86"/>
      <c r="P35" s="86"/>
      <c r="Q35" s="67">
        <f t="shared" si="10"/>
        <v>0</v>
      </c>
      <c r="R35" s="67">
        <f t="shared" si="11"/>
        <v>0</v>
      </c>
      <c r="S35" s="86"/>
      <c r="T35" s="86"/>
      <c r="U35" s="86"/>
      <c r="V35" s="86"/>
      <c r="W35" s="66">
        <f t="shared" si="12"/>
        <v>0</v>
      </c>
      <c r="X35" s="98"/>
      <c r="Y35" s="68">
        <f t="shared" si="13"/>
        <v>0</v>
      </c>
      <c r="Z35" s="68">
        <f t="shared" si="14"/>
        <v>0</v>
      </c>
      <c r="AA35" s="72"/>
      <c r="AB35" s="68">
        <f t="shared" si="15"/>
        <v>0</v>
      </c>
      <c r="AC35" s="68">
        <f t="shared" si="16"/>
        <v>0</v>
      </c>
      <c r="AD35" s="68"/>
      <c r="AE35" s="55"/>
      <c r="AF35" s="69">
        <f t="shared" si="17"/>
        <v>0</v>
      </c>
      <c r="AG35" s="86"/>
      <c r="AH35" s="108"/>
      <c r="AI35" s="108"/>
      <c r="AJ35" s="108"/>
      <c r="AK35" s="70">
        <f t="shared" si="18"/>
        <v>0</v>
      </c>
      <c r="AL35" s="71"/>
      <c r="AM35" s="48"/>
      <c r="AN35" s="5"/>
      <c r="AO35" s="5"/>
      <c r="AP35" s="5"/>
      <c r="AQ35" s="5"/>
      <c r="AR35" s="7"/>
      <c r="AS35" s="7"/>
      <c r="AT35" s="7"/>
      <c r="AU35" s="7"/>
      <c r="AV35" s="7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</row>
    <row r="36" spans="1:115" ht="15" customHeight="1" x14ac:dyDescent="0.3">
      <c r="A36" s="65"/>
      <c r="B36" s="109"/>
      <c r="C36" s="110"/>
      <c r="D36" s="110"/>
      <c r="E36" s="111"/>
      <c r="F36" s="85"/>
      <c r="G36" s="86"/>
      <c r="H36" s="86"/>
      <c r="I36" s="86"/>
      <c r="J36" s="86"/>
      <c r="K36" s="86"/>
      <c r="L36" s="86"/>
      <c r="M36" s="86"/>
      <c r="N36" s="86"/>
      <c r="O36" s="86"/>
      <c r="P36" s="86"/>
      <c r="Q36" s="67">
        <f t="shared" si="10"/>
        <v>0</v>
      </c>
      <c r="R36" s="67">
        <f t="shared" si="11"/>
        <v>0</v>
      </c>
      <c r="S36" s="86"/>
      <c r="T36" s="86"/>
      <c r="U36" s="86"/>
      <c r="V36" s="86"/>
      <c r="W36" s="66">
        <f t="shared" si="12"/>
        <v>0</v>
      </c>
      <c r="X36" s="98"/>
      <c r="Y36" s="68">
        <f t="shared" si="13"/>
        <v>0</v>
      </c>
      <c r="Z36" s="68">
        <f t="shared" si="14"/>
        <v>0</v>
      </c>
      <c r="AA36" s="72"/>
      <c r="AB36" s="68">
        <f t="shared" si="15"/>
        <v>0</v>
      </c>
      <c r="AC36" s="68">
        <f t="shared" si="16"/>
        <v>0</v>
      </c>
      <c r="AD36" s="68"/>
      <c r="AE36" s="55"/>
      <c r="AF36" s="69">
        <f t="shared" si="17"/>
        <v>0</v>
      </c>
      <c r="AG36" s="86"/>
      <c r="AH36" s="108"/>
      <c r="AI36" s="108"/>
      <c r="AJ36" s="108"/>
      <c r="AK36" s="70">
        <f t="shared" si="18"/>
        <v>0</v>
      </c>
      <c r="AL36" s="71"/>
      <c r="AM36" s="48"/>
      <c r="AN36" s="5"/>
      <c r="AO36" s="5"/>
      <c r="AP36" s="5"/>
      <c r="AQ36" s="5"/>
      <c r="AR36" s="7"/>
      <c r="AS36" s="7"/>
      <c r="AT36" s="7"/>
      <c r="AU36" s="7"/>
      <c r="AV36" s="7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</row>
    <row r="37" spans="1:115" ht="15" customHeight="1" x14ac:dyDescent="0.3">
      <c r="A37" s="65"/>
      <c r="B37" s="109"/>
      <c r="C37" s="110"/>
      <c r="D37" s="110"/>
      <c r="E37" s="111"/>
      <c r="F37" s="85"/>
      <c r="G37" s="86"/>
      <c r="H37" s="86"/>
      <c r="I37" s="86"/>
      <c r="J37" s="86"/>
      <c r="K37" s="86"/>
      <c r="L37" s="86"/>
      <c r="M37" s="86"/>
      <c r="N37" s="86"/>
      <c r="O37" s="86"/>
      <c r="P37" s="86"/>
      <c r="Q37" s="67">
        <f t="shared" si="10"/>
        <v>0</v>
      </c>
      <c r="R37" s="67">
        <f t="shared" si="11"/>
        <v>0</v>
      </c>
      <c r="S37" s="86"/>
      <c r="T37" s="86"/>
      <c r="U37" s="86"/>
      <c r="V37" s="86"/>
      <c r="W37" s="66">
        <f t="shared" si="12"/>
        <v>0</v>
      </c>
      <c r="X37" s="98"/>
      <c r="Y37" s="68">
        <f t="shared" si="13"/>
        <v>0</v>
      </c>
      <c r="Z37" s="68">
        <f t="shared" si="14"/>
        <v>0</v>
      </c>
      <c r="AA37" s="72"/>
      <c r="AB37" s="68">
        <f t="shared" si="15"/>
        <v>0</v>
      </c>
      <c r="AC37" s="68">
        <f t="shared" si="16"/>
        <v>0</v>
      </c>
      <c r="AD37" s="68"/>
      <c r="AE37" s="55"/>
      <c r="AF37" s="69">
        <f t="shared" si="17"/>
        <v>0</v>
      </c>
      <c r="AG37" s="86"/>
      <c r="AH37" s="108"/>
      <c r="AI37" s="108"/>
      <c r="AJ37" s="108"/>
      <c r="AK37" s="70">
        <f t="shared" si="18"/>
        <v>0</v>
      </c>
      <c r="AL37" s="71"/>
      <c r="AM37" s="48"/>
      <c r="AN37" s="5"/>
      <c r="AO37" s="5"/>
      <c r="AP37" s="5"/>
      <c r="AQ37" s="5"/>
      <c r="AR37" s="7"/>
      <c r="AS37" s="7"/>
      <c r="AT37" s="7"/>
      <c r="AU37" s="7"/>
      <c r="AV37" s="7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</row>
    <row r="38" spans="1:115" ht="15" customHeight="1" x14ac:dyDescent="0.3">
      <c r="A38" s="65"/>
      <c r="B38" s="109"/>
      <c r="C38" s="110"/>
      <c r="D38" s="110"/>
      <c r="E38" s="111"/>
      <c r="F38" s="85"/>
      <c r="G38" s="86"/>
      <c r="H38" s="86"/>
      <c r="I38" s="86"/>
      <c r="J38" s="86"/>
      <c r="K38" s="86"/>
      <c r="L38" s="86"/>
      <c r="M38" s="86"/>
      <c r="N38" s="86"/>
      <c r="O38" s="86"/>
      <c r="P38" s="86"/>
      <c r="Q38" s="67">
        <f t="shared" si="10"/>
        <v>0</v>
      </c>
      <c r="R38" s="67">
        <f t="shared" si="11"/>
        <v>0</v>
      </c>
      <c r="S38" s="86"/>
      <c r="T38" s="86"/>
      <c r="U38" s="86"/>
      <c r="V38" s="86"/>
      <c r="W38" s="66">
        <f t="shared" si="12"/>
        <v>0</v>
      </c>
      <c r="X38" s="98"/>
      <c r="Y38" s="68">
        <f t="shared" si="13"/>
        <v>0</v>
      </c>
      <c r="Z38" s="68">
        <f t="shared" si="14"/>
        <v>0</v>
      </c>
      <c r="AA38" s="72"/>
      <c r="AB38" s="68">
        <f t="shared" si="15"/>
        <v>0</v>
      </c>
      <c r="AC38" s="68">
        <f t="shared" si="16"/>
        <v>0</v>
      </c>
      <c r="AD38" s="68"/>
      <c r="AE38" s="55"/>
      <c r="AF38" s="69">
        <f t="shared" si="17"/>
        <v>0</v>
      </c>
      <c r="AG38" s="86"/>
      <c r="AH38" s="108"/>
      <c r="AI38" s="108"/>
      <c r="AJ38" s="108"/>
      <c r="AK38" s="70">
        <f t="shared" si="18"/>
        <v>0</v>
      </c>
      <c r="AL38" s="71"/>
      <c r="AM38" s="48"/>
      <c r="AN38" s="5"/>
      <c r="AO38" s="5"/>
      <c r="AP38" s="5"/>
      <c r="AQ38" s="5"/>
      <c r="AR38" s="7"/>
      <c r="AS38" s="7"/>
      <c r="AT38" s="7"/>
      <c r="AU38" s="7"/>
      <c r="AV38" s="7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</row>
    <row r="39" spans="1:115" ht="15" customHeight="1" x14ac:dyDescent="0.3">
      <c r="A39" s="65"/>
      <c r="B39" s="109"/>
      <c r="C39" s="110"/>
      <c r="D39" s="110"/>
      <c r="E39" s="111"/>
      <c r="F39" s="85"/>
      <c r="G39" s="86"/>
      <c r="H39" s="86"/>
      <c r="I39" s="86"/>
      <c r="J39" s="86"/>
      <c r="K39" s="86"/>
      <c r="L39" s="86"/>
      <c r="M39" s="86"/>
      <c r="N39" s="86"/>
      <c r="O39" s="86"/>
      <c r="P39" s="86"/>
      <c r="Q39" s="67">
        <f t="shared" si="10"/>
        <v>0</v>
      </c>
      <c r="R39" s="67">
        <f t="shared" si="11"/>
        <v>0</v>
      </c>
      <c r="S39" s="86"/>
      <c r="T39" s="86"/>
      <c r="U39" s="86"/>
      <c r="V39" s="86"/>
      <c r="W39" s="66">
        <f t="shared" si="12"/>
        <v>0</v>
      </c>
      <c r="X39" s="98"/>
      <c r="Y39" s="68">
        <f t="shared" si="13"/>
        <v>0</v>
      </c>
      <c r="Z39" s="68">
        <f t="shared" si="14"/>
        <v>0</v>
      </c>
      <c r="AA39" s="72"/>
      <c r="AB39" s="68">
        <f t="shared" si="15"/>
        <v>0</v>
      </c>
      <c r="AC39" s="68">
        <f t="shared" si="16"/>
        <v>0</v>
      </c>
      <c r="AD39" s="68"/>
      <c r="AE39" s="55"/>
      <c r="AF39" s="69">
        <f t="shared" si="17"/>
        <v>0</v>
      </c>
      <c r="AG39" s="86"/>
      <c r="AH39" s="108"/>
      <c r="AI39" s="108"/>
      <c r="AJ39" s="108"/>
      <c r="AK39" s="70">
        <f t="shared" si="18"/>
        <v>0</v>
      </c>
      <c r="AL39" s="71"/>
      <c r="AM39" s="48"/>
      <c r="AN39" s="5"/>
      <c r="AO39" s="5"/>
      <c r="AP39" s="5"/>
      <c r="AQ39" s="5"/>
      <c r="AR39" s="7"/>
      <c r="AS39" s="7"/>
      <c r="AT39" s="7"/>
      <c r="AU39" s="7"/>
      <c r="AV39" s="7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</row>
    <row r="40" spans="1:115" ht="15" customHeight="1" x14ac:dyDescent="0.3">
      <c r="A40" s="65"/>
      <c r="B40" s="109"/>
      <c r="C40" s="110"/>
      <c r="D40" s="110"/>
      <c r="E40" s="111"/>
      <c r="F40" s="85"/>
      <c r="G40" s="86"/>
      <c r="H40" s="86"/>
      <c r="I40" s="86"/>
      <c r="J40" s="86"/>
      <c r="K40" s="86"/>
      <c r="L40" s="86"/>
      <c r="M40" s="86"/>
      <c r="N40" s="86"/>
      <c r="O40" s="86"/>
      <c r="P40" s="86"/>
      <c r="Q40" s="67">
        <f t="shared" si="10"/>
        <v>0</v>
      </c>
      <c r="R40" s="67">
        <f t="shared" si="11"/>
        <v>0</v>
      </c>
      <c r="S40" s="86"/>
      <c r="T40" s="86"/>
      <c r="U40" s="86"/>
      <c r="V40" s="86"/>
      <c r="W40" s="66">
        <f t="shared" si="12"/>
        <v>0</v>
      </c>
      <c r="X40" s="98"/>
      <c r="Y40" s="68">
        <f t="shared" si="13"/>
        <v>0</v>
      </c>
      <c r="Z40" s="68">
        <f t="shared" si="14"/>
        <v>0</v>
      </c>
      <c r="AA40" s="72"/>
      <c r="AB40" s="68">
        <f t="shared" si="15"/>
        <v>0</v>
      </c>
      <c r="AC40" s="68">
        <f t="shared" si="16"/>
        <v>0</v>
      </c>
      <c r="AD40" s="68"/>
      <c r="AE40" s="55"/>
      <c r="AF40" s="69">
        <f t="shared" si="17"/>
        <v>0</v>
      </c>
      <c r="AG40" s="86"/>
      <c r="AH40" s="108"/>
      <c r="AI40" s="108"/>
      <c r="AJ40" s="108"/>
      <c r="AK40" s="70">
        <f t="shared" si="18"/>
        <v>0</v>
      </c>
      <c r="AL40" s="71"/>
      <c r="AM40" s="48"/>
      <c r="AN40" s="5"/>
      <c r="AO40" s="5"/>
      <c r="AP40" s="5"/>
      <c r="AQ40" s="5"/>
      <c r="AR40" s="7"/>
      <c r="AS40" s="7"/>
      <c r="AT40" s="7"/>
      <c r="AU40" s="7"/>
      <c r="AV40" s="7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</row>
    <row r="41" spans="1:115" ht="15" customHeight="1" x14ac:dyDescent="0.3">
      <c r="A41" s="65"/>
      <c r="B41" s="109"/>
      <c r="C41" s="110"/>
      <c r="D41" s="110"/>
      <c r="E41" s="111"/>
      <c r="F41" s="85"/>
      <c r="G41" s="86"/>
      <c r="H41" s="86"/>
      <c r="I41" s="86"/>
      <c r="J41" s="86"/>
      <c r="K41" s="86"/>
      <c r="L41" s="86"/>
      <c r="M41" s="86"/>
      <c r="N41" s="86"/>
      <c r="O41" s="86"/>
      <c r="P41" s="86"/>
      <c r="Q41" s="67">
        <f t="shared" si="0"/>
        <v>0</v>
      </c>
      <c r="R41" s="67">
        <f t="shared" si="1"/>
        <v>0</v>
      </c>
      <c r="S41" s="86"/>
      <c r="T41" s="86"/>
      <c r="U41" s="86"/>
      <c r="V41" s="86"/>
      <c r="W41" s="66">
        <f t="shared" si="2"/>
        <v>0</v>
      </c>
      <c r="X41" s="97"/>
      <c r="Y41" s="68">
        <f t="shared" si="3"/>
        <v>0</v>
      </c>
      <c r="Z41" s="68">
        <f t="shared" si="4"/>
        <v>0</v>
      </c>
      <c r="AA41" s="72"/>
      <c r="AB41" s="68">
        <f t="shared" si="7"/>
        <v>0</v>
      </c>
      <c r="AC41" s="68">
        <f t="shared" si="8"/>
        <v>0</v>
      </c>
      <c r="AD41" s="68"/>
      <c r="AE41" s="55"/>
      <c r="AF41" s="69">
        <f t="shared" si="5"/>
        <v>0</v>
      </c>
      <c r="AG41" s="86"/>
      <c r="AH41" s="108"/>
      <c r="AI41" s="108"/>
      <c r="AJ41" s="108"/>
      <c r="AK41" s="70">
        <f t="shared" si="9"/>
        <v>0</v>
      </c>
      <c r="AL41" s="71"/>
      <c r="AM41" s="48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</row>
    <row r="42" spans="1:115" ht="15" customHeight="1" x14ac:dyDescent="0.3">
      <c r="A42" s="65"/>
      <c r="B42" s="109"/>
      <c r="C42" s="110"/>
      <c r="D42" s="110"/>
      <c r="E42" s="111"/>
      <c r="F42" s="85"/>
      <c r="G42" s="86"/>
      <c r="H42" s="86"/>
      <c r="I42" s="86"/>
      <c r="J42" s="86"/>
      <c r="K42" s="86"/>
      <c r="L42" s="86"/>
      <c r="M42" s="86"/>
      <c r="N42" s="86"/>
      <c r="O42" s="86"/>
      <c r="P42" s="86"/>
      <c r="Q42" s="67">
        <f t="shared" si="0"/>
        <v>0</v>
      </c>
      <c r="R42" s="67">
        <f t="shared" si="1"/>
        <v>0</v>
      </c>
      <c r="S42" s="86"/>
      <c r="T42" s="86"/>
      <c r="U42" s="86"/>
      <c r="V42" s="86"/>
      <c r="W42" s="66">
        <f t="shared" si="2"/>
        <v>0</v>
      </c>
      <c r="X42" s="97"/>
      <c r="Y42" s="68">
        <f t="shared" si="3"/>
        <v>0</v>
      </c>
      <c r="Z42" s="68">
        <f t="shared" si="4"/>
        <v>0</v>
      </c>
      <c r="AA42" s="72"/>
      <c r="AB42" s="68">
        <f t="shared" si="7"/>
        <v>0</v>
      </c>
      <c r="AC42" s="68">
        <f t="shared" si="8"/>
        <v>0</v>
      </c>
      <c r="AD42" s="68"/>
      <c r="AE42" s="55"/>
      <c r="AF42" s="69">
        <f t="shared" si="5"/>
        <v>0</v>
      </c>
      <c r="AG42" s="86"/>
      <c r="AH42" s="108"/>
      <c r="AI42" s="108"/>
      <c r="AJ42" s="108"/>
      <c r="AK42" s="70">
        <f t="shared" si="9"/>
        <v>0</v>
      </c>
      <c r="AL42" s="71"/>
      <c r="AM42" s="48"/>
      <c r="AN42" s="5"/>
      <c r="AO42" s="5"/>
      <c r="AP42" s="5"/>
      <c r="AQ42" s="5"/>
      <c r="AR42" s="7"/>
      <c r="AS42" s="7"/>
      <c r="AT42" s="7"/>
      <c r="AU42" s="7"/>
      <c r="AV42" s="7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</row>
    <row r="43" spans="1:115" ht="15" customHeight="1" x14ac:dyDescent="0.3">
      <c r="A43" s="65"/>
      <c r="B43" s="109"/>
      <c r="C43" s="110"/>
      <c r="D43" s="110"/>
      <c r="E43" s="111"/>
      <c r="F43" s="85"/>
      <c r="G43" s="86"/>
      <c r="H43" s="86"/>
      <c r="I43" s="86"/>
      <c r="J43" s="86"/>
      <c r="K43" s="86"/>
      <c r="L43" s="86"/>
      <c r="M43" s="86"/>
      <c r="N43" s="86"/>
      <c r="O43" s="86"/>
      <c r="P43" s="86"/>
      <c r="Q43" s="67">
        <f t="shared" si="0"/>
        <v>0</v>
      </c>
      <c r="R43" s="67">
        <f t="shared" si="1"/>
        <v>0</v>
      </c>
      <c r="S43" s="86"/>
      <c r="T43" s="86"/>
      <c r="U43" s="86"/>
      <c r="V43" s="86"/>
      <c r="W43" s="66">
        <f t="shared" si="2"/>
        <v>0</v>
      </c>
      <c r="X43" s="101"/>
      <c r="Y43" s="68">
        <f t="shared" si="3"/>
        <v>0</v>
      </c>
      <c r="Z43" s="68">
        <f t="shared" si="4"/>
        <v>0</v>
      </c>
      <c r="AA43" s="72"/>
      <c r="AB43" s="68">
        <f t="shared" si="7"/>
        <v>0</v>
      </c>
      <c r="AC43" s="68">
        <f t="shared" si="8"/>
        <v>0</v>
      </c>
      <c r="AD43" s="68"/>
      <c r="AE43" s="55"/>
      <c r="AF43" s="69">
        <f t="shared" si="5"/>
        <v>0</v>
      </c>
      <c r="AG43" s="86"/>
      <c r="AH43" s="108"/>
      <c r="AI43" s="108"/>
      <c r="AJ43" s="108"/>
      <c r="AK43" s="70">
        <f t="shared" si="9"/>
        <v>0</v>
      </c>
      <c r="AL43" s="71"/>
      <c r="AM43" s="48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</row>
    <row r="44" spans="1:115" ht="15" customHeight="1" x14ac:dyDescent="0.3">
      <c r="A44" s="65"/>
      <c r="B44" s="109"/>
      <c r="C44" s="110"/>
      <c r="D44" s="110"/>
      <c r="E44" s="111"/>
      <c r="F44" s="85"/>
      <c r="G44" s="86"/>
      <c r="H44" s="86"/>
      <c r="I44" s="86"/>
      <c r="J44" s="86"/>
      <c r="K44" s="86"/>
      <c r="L44" s="86"/>
      <c r="M44" s="86"/>
      <c r="N44" s="86"/>
      <c r="O44" s="86"/>
      <c r="P44" s="86"/>
      <c r="Q44" s="67">
        <f t="shared" si="0"/>
        <v>0</v>
      </c>
      <c r="R44" s="67">
        <f t="shared" si="1"/>
        <v>0</v>
      </c>
      <c r="S44" s="86"/>
      <c r="T44" s="86"/>
      <c r="U44" s="86"/>
      <c r="V44" s="86"/>
      <c r="W44" s="66">
        <f t="shared" si="2"/>
        <v>0</v>
      </c>
      <c r="X44" s="96"/>
      <c r="Y44" s="68">
        <f t="shared" si="3"/>
        <v>0</v>
      </c>
      <c r="Z44" s="68">
        <f t="shared" si="4"/>
        <v>0</v>
      </c>
      <c r="AA44" s="72"/>
      <c r="AB44" s="68">
        <f t="shared" si="7"/>
        <v>0</v>
      </c>
      <c r="AC44" s="68">
        <f t="shared" si="8"/>
        <v>0</v>
      </c>
      <c r="AD44" s="68"/>
      <c r="AE44" s="55"/>
      <c r="AF44" s="69">
        <f t="shared" si="5"/>
        <v>0</v>
      </c>
      <c r="AG44" s="86"/>
      <c r="AH44" s="108"/>
      <c r="AI44" s="108"/>
      <c r="AJ44" s="108"/>
      <c r="AK44" s="70">
        <f t="shared" si="9"/>
        <v>0</v>
      </c>
      <c r="AL44" s="71"/>
      <c r="AM44" s="48"/>
      <c r="AN44" s="5"/>
      <c r="AO44" s="5"/>
      <c r="AP44" s="5"/>
      <c r="AQ44" s="5"/>
      <c r="AR44" s="7"/>
      <c r="AS44" s="7"/>
      <c r="AT44" s="7"/>
      <c r="AU44" s="7"/>
      <c r="AV44" s="7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</row>
    <row r="45" spans="1:115" ht="15" customHeight="1" x14ac:dyDescent="0.3">
      <c r="A45" s="65"/>
      <c r="B45" s="109"/>
      <c r="C45" s="110"/>
      <c r="D45" s="110"/>
      <c r="E45" s="111"/>
      <c r="F45" s="85"/>
      <c r="G45" s="86"/>
      <c r="H45" s="86"/>
      <c r="I45" s="86"/>
      <c r="J45" s="86"/>
      <c r="K45" s="86"/>
      <c r="L45" s="86"/>
      <c r="M45" s="86"/>
      <c r="N45" s="86"/>
      <c r="O45" s="86"/>
      <c r="P45" s="86"/>
      <c r="Q45" s="67">
        <f t="shared" si="0"/>
        <v>0</v>
      </c>
      <c r="R45" s="67">
        <f t="shared" si="1"/>
        <v>0</v>
      </c>
      <c r="S45" s="86"/>
      <c r="T45" s="86"/>
      <c r="U45" s="86"/>
      <c r="V45" s="86"/>
      <c r="W45" s="66">
        <f t="shared" si="2"/>
        <v>0</v>
      </c>
      <c r="X45" s="97"/>
      <c r="Y45" s="68">
        <f t="shared" si="3"/>
        <v>0</v>
      </c>
      <c r="Z45" s="68">
        <f t="shared" si="4"/>
        <v>0</v>
      </c>
      <c r="AA45" s="72"/>
      <c r="AB45" s="68">
        <f t="shared" si="7"/>
        <v>0</v>
      </c>
      <c r="AC45" s="68">
        <f t="shared" si="8"/>
        <v>0</v>
      </c>
      <c r="AD45" s="68"/>
      <c r="AE45" s="55"/>
      <c r="AF45" s="69">
        <f t="shared" si="5"/>
        <v>0</v>
      </c>
      <c r="AG45" s="86"/>
      <c r="AH45" s="108"/>
      <c r="AI45" s="108"/>
      <c r="AJ45" s="108"/>
      <c r="AK45" s="70">
        <f t="shared" si="9"/>
        <v>0</v>
      </c>
      <c r="AL45" s="71"/>
      <c r="AM45" s="48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</row>
    <row r="46" spans="1:115" ht="15" customHeight="1" x14ac:dyDescent="0.3">
      <c r="A46" s="65"/>
      <c r="B46" s="109"/>
      <c r="C46" s="110"/>
      <c r="D46" s="110"/>
      <c r="E46" s="111"/>
      <c r="F46" s="85"/>
      <c r="G46" s="86"/>
      <c r="H46" s="86"/>
      <c r="I46" s="86"/>
      <c r="J46" s="86"/>
      <c r="K46" s="86"/>
      <c r="L46" s="86"/>
      <c r="M46" s="86"/>
      <c r="N46" s="86"/>
      <c r="O46" s="86"/>
      <c r="P46" s="86"/>
      <c r="Q46" s="67">
        <f t="shared" si="0"/>
        <v>0</v>
      </c>
      <c r="R46" s="67">
        <f t="shared" si="1"/>
        <v>0</v>
      </c>
      <c r="S46" s="86"/>
      <c r="T46" s="86"/>
      <c r="U46" s="86"/>
      <c r="V46" s="86"/>
      <c r="W46" s="66">
        <f t="shared" si="2"/>
        <v>0</v>
      </c>
      <c r="X46" s="98"/>
      <c r="Y46" s="68">
        <f t="shared" si="3"/>
        <v>0</v>
      </c>
      <c r="Z46" s="68">
        <f t="shared" si="4"/>
        <v>0</v>
      </c>
      <c r="AA46" s="72"/>
      <c r="AB46" s="68">
        <f t="shared" si="7"/>
        <v>0</v>
      </c>
      <c r="AC46" s="68">
        <f t="shared" si="8"/>
        <v>0</v>
      </c>
      <c r="AD46" s="68"/>
      <c r="AE46" s="55"/>
      <c r="AF46" s="69">
        <f t="shared" si="5"/>
        <v>0</v>
      </c>
      <c r="AG46" s="86"/>
      <c r="AH46" s="108"/>
      <c r="AI46" s="108"/>
      <c r="AJ46" s="108"/>
      <c r="AK46" s="70">
        <f t="shared" si="9"/>
        <v>0</v>
      </c>
      <c r="AL46" s="71"/>
      <c r="AM46" s="48"/>
      <c r="AN46" s="5"/>
      <c r="AO46" s="5"/>
      <c r="AP46" s="5"/>
      <c r="AQ46" s="5"/>
      <c r="AR46" s="7"/>
      <c r="AS46" s="7"/>
      <c r="AT46" s="7"/>
      <c r="AU46" s="7"/>
      <c r="AV46" s="7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</row>
    <row r="47" spans="1:115" ht="15.75" customHeight="1" x14ac:dyDescent="0.3">
      <c r="A47" s="65"/>
      <c r="B47" s="109"/>
      <c r="C47" s="110"/>
      <c r="D47" s="110"/>
      <c r="E47" s="111"/>
      <c r="F47" s="85"/>
      <c r="G47" s="86"/>
      <c r="H47" s="86"/>
      <c r="I47" s="86"/>
      <c r="J47" s="86"/>
      <c r="K47" s="86"/>
      <c r="L47" s="86"/>
      <c r="M47" s="86"/>
      <c r="N47" s="86"/>
      <c r="O47" s="86"/>
      <c r="P47" s="86"/>
      <c r="Q47" s="67">
        <f t="shared" si="0"/>
        <v>0</v>
      </c>
      <c r="R47" s="67">
        <f t="shared" si="1"/>
        <v>0</v>
      </c>
      <c r="S47" s="86"/>
      <c r="T47" s="86"/>
      <c r="U47" s="86"/>
      <c r="V47" s="86"/>
      <c r="W47" s="66">
        <f t="shared" si="2"/>
        <v>0</v>
      </c>
      <c r="X47" s="97"/>
      <c r="Y47" s="68">
        <f t="shared" si="3"/>
        <v>0</v>
      </c>
      <c r="Z47" s="68">
        <f t="shared" si="4"/>
        <v>0</v>
      </c>
      <c r="AA47" s="72"/>
      <c r="AB47" s="68">
        <f t="shared" si="7"/>
        <v>0</v>
      </c>
      <c r="AC47" s="68">
        <f t="shared" si="8"/>
        <v>0</v>
      </c>
      <c r="AD47" s="68"/>
      <c r="AE47" s="55"/>
      <c r="AF47" s="69">
        <f t="shared" si="5"/>
        <v>0</v>
      </c>
      <c r="AG47" s="86"/>
      <c r="AH47" s="108"/>
      <c r="AI47" s="108"/>
      <c r="AJ47" s="108"/>
      <c r="AK47" s="70">
        <f t="shared" si="9"/>
        <v>0</v>
      </c>
      <c r="AL47" s="71"/>
      <c r="AM47" s="48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</row>
    <row r="48" spans="1:115" ht="15" customHeight="1" x14ac:dyDescent="0.3">
      <c r="A48" s="65"/>
      <c r="B48" s="109"/>
      <c r="C48" s="110"/>
      <c r="D48" s="110"/>
      <c r="E48" s="111"/>
      <c r="F48" s="88"/>
      <c r="G48" s="86"/>
      <c r="H48" s="86"/>
      <c r="I48" s="86"/>
      <c r="J48" s="86"/>
      <c r="K48" s="86"/>
      <c r="L48" s="86"/>
      <c r="M48" s="86"/>
      <c r="N48" s="86"/>
      <c r="O48" s="86"/>
      <c r="P48" s="86"/>
      <c r="Q48" s="67">
        <f t="shared" si="0"/>
        <v>0</v>
      </c>
      <c r="R48" s="67">
        <f t="shared" si="1"/>
        <v>0</v>
      </c>
      <c r="S48" s="86"/>
      <c r="T48" s="86"/>
      <c r="U48" s="86"/>
      <c r="V48" s="86"/>
      <c r="W48" s="66">
        <f t="shared" si="2"/>
        <v>0</v>
      </c>
      <c r="X48" s="97"/>
      <c r="Y48" s="68">
        <f t="shared" si="3"/>
        <v>0</v>
      </c>
      <c r="Z48" s="68">
        <f t="shared" si="4"/>
        <v>0</v>
      </c>
      <c r="AA48" s="72"/>
      <c r="AB48" s="68">
        <f t="shared" si="7"/>
        <v>0</v>
      </c>
      <c r="AC48" s="68">
        <f t="shared" si="8"/>
        <v>0</v>
      </c>
      <c r="AD48" s="68"/>
      <c r="AE48" s="55"/>
      <c r="AF48" s="69">
        <f t="shared" si="5"/>
        <v>0</v>
      </c>
      <c r="AG48" s="86"/>
      <c r="AH48" s="108"/>
      <c r="AI48" s="108"/>
      <c r="AJ48" s="108"/>
      <c r="AK48" s="70">
        <f t="shared" si="9"/>
        <v>0</v>
      </c>
      <c r="AL48" s="71"/>
      <c r="AM48" s="48"/>
      <c r="AN48" s="5"/>
      <c r="AO48" s="5"/>
      <c r="AP48" s="5"/>
      <c r="AQ48" s="5"/>
      <c r="AR48" s="7"/>
      <c r="AS48" s="7"/>
      <c r="AT48" s="7"/>
      <c r="AU48" s="7"/>
      <c r="AV48" s="7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</row>
    <row r="49" spans="1:115" ht="15" customHeight="1" x14ac:dyDescent="0.3">
      <c r="A49" s="65"/>
      <c r="B49" s="109"/>
      <c r="C49" s="110"/>
      <c r="D49" s="110"/>
      <c r="E49" s="111"/>
      <c r="F49" s="85"/>
      <c r="G49" s="86"/>
      <c r="H49" s="86"/>
      <c r="I49" s="86"/>
      <c r="J49" s="86"/>
      <c r="K49" s="86"/>
      <c r="L49" s="86"/>
      <c r="M49" s="86"/>
      <c r="N49" s="86"/>
      <c r="O49" s="86"/>
      <c r="P49" s="86"/>
      <c r="Q49" s="67">
        <f t="shared" si="0"/>
        <v>0</v>
      </c>
      <c r="R49" s="67">
        <f t="shared" si="1"/>
        <v>0</v>
      </c>
      <c r="S49" s="86"/>
      <c r="T49" s="86"/>
      <c r="U49" s="86"/>
      <c r="V49" s="86"/>
      <c r="W49" s="66">
        <f t="shared" si="2"/>
        <v>0</v>
      </c>
      <c r="X49" s="96"/>
      <c r="Y49" s="68">
        <f t="shared" si="3"/>
        <v>0</v>
      </c>
      <c r="Z49" s="68">
        <f t="shared" si="4"/>
        <v>0</v>
      </c>
      <c r="AA49" s="72"/>
      <c r="AB49" s="68">
        <f t="shared" si="7"/>
        <v>0</v>
      </c>
      <c r="AC49" s="68">
        <f t="shared" si="8"/>
        <v>0</v>
      </c>
      <c r="AD49" s="68"/>
      <c r="AE49" s="55"/>
      <c r="AF49" s="69">
        <f t="shared" si="5"/>
        <v>0</v>
      </c>
      <c r="AG49" s="86"/>
      <c r="AH49" s="108"/>
      <c r="AI49" s="108"/>
      <c r="AJ49" s="108"/>
      <c r="AK49" s="70">
        <f t="shared" si="9"/>
        <v>0</v>
      </c>
      <c r="AL49" s="71"/>
      <c r="AM49" s="48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</row>
    <row r="50" spans="1:115" s="42" customFormat="1" ht="15" customHeight="1" x14ac:dyDescent="0.3">
      <c r="A50" s="65"/>
      <c r="B50" s="109"/>
      <c r="C50" s="110"/>
      <c r="D50" s="110"/>
      <c r="E50" s="111"/>
      <c r="F50" s="85"/>
      <c r="G50" s="86"/>
      <c r="H50" s="86"/>
      <c r="I50" s="86"/>
      <c r="J50" s="86"/>
      <c r="K50" s="86"/>
      <c r="L50" s="86"/>
      <c r="M50" s="86"/>
      <c r="N50" s="86"/>
      <c r="O50" s="86"/>
      <c r="P50" s="86"/>
      <c r="Q50" s="67">
        <f t="shared" si="0"/>
        <v>0</v>
      </c>
      <c r="R50" s="67">
        <f t="shared" si="1"/>
        <v>0</v>
      </c>
      <c r="S50" s="86"/>
      <c r="T50" s="86"/>
      <c r="U50" s="86"/>
      <c r="V50" s="86"/>
      <c r="W50" s="66">
        <f t="shared" si="2"/>
        <v>0</v>
      </c>
      <c r="X50" s="101"/>
      <c r="Y50" s="68">
        <f t="shared" si="3"/>
        <v>0</v>
      </c>
      <c r="Z50" s="68">
        <f t="shared" si="4"/>
        <v>0</v>
      </c>
      <c r="AA50" s="72"/>
      <c r="AB50" s="68">
        <f t="shared" si="7"/>
        <v>0</v>
      </c>
      <c r="AC50" s="68">
        <f t="shared" si="8"/>
        <v>0</v>
      </c>
      <c r="AD50" s="68"/>
      <c r="AE50" s="55"/>
      <c r="AF50" s="69">
        <f t="shared" si="5"/>
        <v>0</v>
      </c>
      <c r="AG50" s="86"/>
      <c r="AH50" s="108"/>
      <c r="AI50" s="108"/>
      <c r="AJ50" s="108"/>
      <c r="AK50" s="70">
        <f t="shared" si="9"/>
        <v>0</v>
      </c>
      <c r="AL50" s="71"/>
      <c r="AM50" s="48"/>
      <c r="AN50" s="5"/>
      <c r="AO50" s="5"/>
      <c r="AP50" s="5"/>
      <c r="AQ50" s="5"/>
      <c r="AR50" s="7"/>
      <c r="AS50" s="7"/>
      <c r="AT50" s="7"/>
      <c r="AU50" s="7"/>
      <c r="AV50" s="7"/>
      <c r="AW50"/>
      <c r="AX50"/>
      <c r="AY50"/>
      <c r="AZ50"/>
      <c r="BA50"/>
      <c r="BB50"/>
      <c r="BC50"/>
      <c r="BD50"/>
      <c r="BE50"/>
      <c r="BF50"/>
      <c r="BG50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/>
      <c r="CG50"/>
      <c r="CH50"/>
      <c r="CI50"/>
      <c r="CJ50"/>
      <c r="CK50"/>
      <c r="CL50"/>
      <c r="CM50"/>
      <c r="CN50"/>
      <c r="CO50"/>
      <c r="CP50"/>
      <c r="CQ50"/>
      <c r="CR50"/>
      <c r="CS50"/>
      <c r="CT50"/>
      <c r="CU50"/>
      <c r="CV50"/>
      <c r="CW50"/>
      <c r="CX50"/>
      <c r="CY50"/>
      <c r="CZ50"/>
      <c r="DA50"/>
      <c r="DB50"/>
      <c r="DC50"/>
      <c r="DD50"/>
      <c r="DE50"/>
      <c r="DF50"/>
      <c r="DG50"/>
      <c r="DH50"/>
      <c r="DI50"/>
      <c r="DJ50"/>
      <c r="DK50"/>
    </row>
    <row r="51" spans="1:115" s="42" customFormat="1" ht="15.75" customHeight="1" x14ac:dyDescent="0.3">
      <c r="A51" s="65"/>
      <c r="B51" s="109"/>
      <c r="C51" s="110"/>
      <c r="D51" s="110"/>
      <c r="E51" s="111"/>
      <c r="F51" s="90"/>
      <c r="G51" s="86"/>
      <c r="H51" s="86"/>
      <c r="I51" s="86"/>
      <c r="J51" s="86"/>
      <c r="K51" s="86"/>
      <c r="L51" s="86"/>
      <c r="M51" s="86"/>
      <c r="N51" s="86"/>
      <c r="O51" s="86"/>
      <c r="P51" s="86"/>
      <c r="Q51" s="67">
        <f t="shared" si="0"/>
        <v>0</v>
      </c>
      <c r="R51" s="67">
        <f t="shared" si="1"/>
        <v>0</v>
      </c>
      <c r="S51" s="86"/>
      <c r="T51" s="86"/>
      <c r="U51" s="86"/>
      <c r="V51" s="86"/>
      <c r="W51" s="66">
        <f t="shared" si="2"/>
        <v>0</v>
      </c>
      <c r="X51" s="96"/>
      <c r="Y51" s="68">
        <f t="shared" si="3"/>
        <v>0</v>
      </c>
      <c r="Z51" s="68">
        <f t="shared" si="4"/>
        <v>0</v>
      </c>
      <c r="AA51" s="72"/>
      <c r="AB51" s="68">
        <f t="shared" si="7"/>
        <v>0</v>
      </c>
      <c r="AC51" s="68">
        <f t="shared" si="8"/>
        <v>0</v>
      </c>
      <c r="AD51" s="68"/>
      <c r="AE51" s="55"/>
      <c r="AF51" s="69">
        <f t="shared" si="5"/>
        <v>0</v>
      </c>
      <c r="AG51" s="86"/>
      <c r="AH51" s="108"/>
      <c r="AI51" s="108"/>
      <c r="AJ51" s="108"/>
      <c r="AK51" s="70">
        <f t="shared" si="9"/>
        <v>0</v>
      </c>
      <c r="AL51" s="71"/>
      <c r="AM51" s="48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</row>
    <row r="52" spans="1:115" ht="15" customHeight="1" x14ac:dyDescent="0.3">
      <c r="A52" s="65"/>
      <c r="B52" s="109"/>
      <c r="C52" s="110"/>
      <c r="D52" s="110"/>
      <c r="E52" s="111"/>
      <c r="F52" s="88"/>
      <c r="G52" s="86"/>
      <c r="H52" s="86"/>
      <c r="I52" s="86"/>
      <c r="J52" s="86"/>
      <c r="K52" s="86"/>
      <c r="L52" s="86"/>
      <c r="M52" s="86"/>
      <c r="N52" s="86"/>
      <c r="O52" s="86"/>
      <c r="P52" s="86"/>
      <c r="Q52" s="67">
        <f t="shared" si="0"/>
        <v>0</v>
      </c>
      <c r="R52" s="67">
        <f t="shared" si="1"/>
        <v>0</v>
      </c>
      <c r="S52" s="86"/>
      <c r="T52" s="86"/>
      <c r="U52" s="86"/>
      <c r="V52" s="86"/>
      <c r="W52" s="66">
        <f t="shared" si="2"/>
        <v>0</v>
      </c>
      <c r="X52" s="98"/>
      <c r="Y52" s="68">
        <f t="shared" si="3"/>
        <v>0</v>
      </c>
      <c r="Z52" s="68">
        <f t="shared" si="4"/>
        <v>0</v>
      </c>
      <c r="AA52" s="72"/>
      <c r="AB52" s="68">
        <f t="shared" si="7"/>
        <v>0</v>
      </c>
      <c r="AC52" s="68">
        <f t="shared" si="8"/>
        <v>0</v>
      </c>
      <c r="AD52" s="68"/>
      <c r="AE52" s="55"/>
      <c r="AF52" s="69">
        <f t="shared" si="5"/>
        <v>0</v>
      </c>
      <c r="AG52" s="86"/>
      <c r="AH52" s="108"/>
      <c r="AI52" s="108"/>
      <c r="AJ52" s="108"/>
      <c r="AK52" s="70">
        <f t="shared" si="9"/>
        <v>0</v>
      </c>
      <c r="AL52" s="71"/>
      <c r="AM52" s="48"/>
      <c r="AN52" s="5"/>
      <c r="AO52" s="5"/>
      <c r="AP52" s="5"/>
      <c r="AQ52" s="5"/>
      <c r="AR52" s="7"/>
      <c r="AS52" s="7"/>
      <c r="AT52" s="7"/>
      <c r="AU52" s="7"/>
      <c r="AV52" s="7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</row>
    <row r="53" spans="1:115" ht="15" customHeight="1" x14ac:dyDescent="0.3">
      <c r="A53" s="65"/>
      <c r="B53" s="109"/>
      <c r="C53" s="110"/>
      <c r="D53" s="110"/>
      <c r="E53" s="111"/>
      <c r="F53" s="90" t="s">
        <v>52</v>
      </c>
      <c r="G53" s="86"/>
      <c r="H53" s="86"/>
      <c r="I53" s="86"/>
      <c r="J53" s="86"/>
      <c r="K53" s="86"/>
      <c r="L53" s="86"/>
      <c r="M53" s="86"/>
      <c r="N53" s="86"/>
      <c r="O53" s="86"/>
      <c r="P53" s="86"/>
      <c r="Q53" s="67">
        <f t="shared" si="0"/>
        <v>0</v>
      </c>
      <c r="R53" s="67">
        <f t="shared" si="1"/>
        <v>0</v>
      </c>
      <c r="S53" s="86"/>
      <c r="T53" s="86"/>
      <c r="U53" s="86"/>
      <c r="V53" s="86"/>
      <c r="W53" s="66">
        <f t="shared" si="2"/>
        <v>0</v>
      </c>
      <c r="X53" s="98"/>
      <c r="Y53" s="68">
        <f t="shared" si="3"/>
        <v>0</v>
      </c>
      <c r="Z53" s="68">
        <f t="shared" si="4"/>
        <v>0</v>
      </c>
      <c r="AA53" s="72"/>
      <c r="AB53" s="68">
        <f t="shared" si="7"/>
        <v>0</v>
      </c>
      <c r="AC53" s="68">
        <f t="shared" si="8"/>
        <v>0</v>
      </c>
      <c r="AD53" s="68"/>
      <c r="AE53" s="55"/>
      <c r="AF53" s="69">
        <f t="shared" si="5"/>
        <v>0</v>
      </c>
      <c r="AG53" s="86"/>
      <c r="AH53" s="108"/>
      <c r="AI53" s="108"/>
      <c r="AJ53" s="108"/>
      <c r="AK53" s="70">
        <f t="shared" si="9"/>
        <v>0</v>
      </c>
      <c r="AL53" s="71"/>
      <c r="AM53" s="48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</row>
    <row r="54" spans="1:115" ht="15" customHeight="1" x14ac:dyDescent="0.3">
      <c r="A54" s="65"/>
      <c r="B54" s="109"/>
      <c r="C54" s="110"/>
      <c r="D54" s="110"/>
      <c r="E54" s="111"/>
      <c r="F54" s="85"/>
      <c r="G54" s="86"/>
      <c r="H54" s="86"/>
      <c r="I54" s="86"/>
      <c r="J54" s="86"/>
      <c r="K54" s="86"/>
      <c r="L54" s="86"/>
      <c r="M54" s="86"/>
      <c r="N54" s="86"/>
      <c r="O54" s="86"/>
      <c r="P54" s="86"/>
      <c r="Q54" s="67">
        <f t="shared" si="0"/>
        <v>0</v>
      </c>
      <c r="R54" s="67">
        <f t="shared" si="1"/>
        <v>0</v>
      </c>
      <c r="S54" s="86"/>
      <c r="T54" s="86"/>
      <c r="U54" s="86"/>
      <c r="V54" s="86"/>
      <c r="W54" s="66">
        <f t="shared" si="2"/>
        <v>0</v>
      </c>
      <c r="X54" s="98"/>
      <c r="Y54" s="68">
        <f t="shared" si="3"/>
        <v>0</v>
      </c>
      <c r="Z54" s="68">
        <f t="shared" si="4"/>
        <v>0</v>
      </c>
      <c r="AA54" s="72"/>
      <c r="AB54" s="68">
        <f t="shared" si="7"/>
        <v>0</v>
      </c>
      <c r="AC54" s="68">
        <f t="shared" si="8"/>
        <v>0</v>
      </c>
      <c r="AD54" s="68"/>
      <c r="AE54" s="55"/>
      <c r="AF54" s="69">
        <f t="shared" si="5"/>
        <v>0</v>
      </c>
      <c r="AG54" s="86"/>
      <c r="AH54" s="108"/>
      <c r="AI54" s="108"/>
      <c r="AJ54" s="108"/>
      <c r="AK54" s="70">
        <f t="shared" si="9"/>
        <v>0</v>
      </c>
      <c r="AL54" s="71"/>
      <c r="AM54" s="48"/>
      <c r="AN54" s="5"/>
      <c r="AO54" s="5"/>
      <c r="AP54" s="5"/>
      <c r="AQ54" s="5"/>
      <c r="AR54" s="7"/>
      <c r="AS54" s="7"/>
      <c r="AT54" s="7"/>
      <c r="AU54" s="7"/>
      <c r="AV54" s="7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</row>
    <row r="55" spans="1:115" ht="15" customHeight="1" x14ac:dyDescent="0.3">
      <c r="A55" s="65"/>
      <c r="B55" s="109"/>
      <c r="C55" s="110"/>
      <c r="D55" s="110"/>
      <c r="E55" s="111"/>
      <c r="F55" s="85"/>
      <c r="G55" s="86"/>
      <c r="H55" s="86"/>
      <c r="I55" s="86"/>
      <c r="J55" s="86"/>
      <c r="K55" s="86"/>
      <c r="L55" s="86"/>
      <c r="M55" s="86"/>
      <c r="N55" s="86"/>
      <c r="O55" s="86"/>
      <c r="P55" s="86"/>
      <c r="Q55" s="67">
        <f t="shared" si="0"/>
        <v>0</v>
      </c>
      <c r="R55" s="67">
        <f t="shared" si="1"/>
        <v>0</v>
      </c>
      <c r="S55" s="86"/>
      <c r="T55" s="86"/>
      <c r="U55" s="86"/>
      <c r="V55" s="86"/>
      <c r="W55" s="66">
        <f t="shared" si="2"/>
        <v>0</v>
      </c>
      <c r="X55" s="98"/>
      <c r="Y55" s="68">
        <f t="shared" si="3"/>
        <v>0</v>
      </c>
      <c r="Z55" s="68">
        <f t="shared" si="4"/>
        <v>0</v>
      </c>
      <c r="AA55" s="72"/>
      <c r="AB55" s="68">
        <f t="shared" si="7"/>
        <v>0</v>
      </c>
      <c r="AC55" s="68">
        <f t="shared" si="8"/>
        <v>0</v>
      </c>
      <c r="AD55" s="68"/>
      <c r="AE55" s="55"/>
      <c r="AF55" s="69">
        <f t="shared" si="5"/>
        <v>0</v>
      </c>
      <c r="AG55" s="86"/>
      <c r="AH55" s="108"/>
      <c r="AI55" s="108"/>
      <c r="AJ55" s="108"/>
      <c r="AK55" s="70">
        <f t="shared" si="9"/>
        <v>0</v>
      </c>
      <c r="AL55" s="71"/>
      <c r="AM55" s="48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</row>
    <row r="56" spans="1:115" ht="15" customHeight="1" x14ac:dyDescent="0.3">
      <c r="A56" s="65"/>
      <c r="B56" s="109"/>
      <c r="C56" s="110"/>
      <c r="D56" s="110"/>
      <c r="E56" s="111"/>
      <c r="F56" s="91"/>
      <c r="G56" s="86"/>
      <c r="H56" s="86"/>
      <c r="I56" s="86"/>
      <c r="J56" s="86"/>
      <c r="K56" s="86"/>
      <c r="L56" s="86"/>
      <c r="M56" s="86"/>
      <c r="N56" s="86"/>
      <c r="O56" s="86"/>
      <c r="P56" s="86"/>
      <c r="Q56" s="67">
        <f t="shared" si="0"/>
        <v>0</v>
      </c>
      <c r="R56" s="67">
        <f t="shared" si="1"/>
        <v>0</v>
      </c>
      <c r="S56" s="86"/>
      <c r="T56" s="86"/>
      <c r="U56" s="86"/>
      <c r="V56" s="86"/>
      <c r="W56" s="66">
        <f t="shared" si="2"/>
        <v>0</v>
      </c>
      <c r="X56" s="98"/>
      <c r="Y56" s="68">
        <f t="shared" si="3"/>
        <v>0</v>
      </c>
      <c r="Z56" s="68">
        <f t="shared" si="4"/>
        <v>0</v>
      </c>
      <c r="AA56" s="72"/>
      <c r="AB56" s="68">
        <f t="shared" si="7"/>
        <v>0</v>
      </c>
      <c r="AC56" s="68">
        <f t="shared" si="8"/>
        <v>0</v>
      </c>
      <c r="AD56" s="68"/>
      <c r="AE56" s="55"/>
      <c r="AF56" s="69">
        <f t="shared" si="5"/>
        <v>0</v>
      </c>
      <c r="AG56" s="86"/>
      <c r="AH56" s="108"/>
      <c r="AI56" s="108"/>
      <c r="AJ56" s="108"/>
      <c r="AK56" s="70">
        <f t="shared" si="9"/>
        <v>0</v>
      </c>
      <c r="AL56" s="71"/>
      <c r="AM56" s="48"/>
      <c r="AN56" s="5"/>
      <c r="AO56" s="5"/>
      <c r="AP56" s="5"/>
      <c r="AQ56" s="5"/>
      <c r="AR56" s="7"/>
      <c r="AS56" s="7"/>
      <c r="AT56" s="7"/>
      <c r="AU56" s="7"/>
      <c r="AV56" s="7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</row>
    <row r="57" spans="1:115" ht="15" customHeight="1" x14ac:dyDescent="0.3">
      <c r="A57" s="65"/>
      <c r="B57" s="109"/>
      <c r="C57" s="110"/>
      <c r="D57" s="110"/>
      <c r="E57" s="111"/>
      <c r="F57" s="92"/>
      <c r="G57" s="86"/>
      <c r="H57" s="86"/>
      <c r="I57" s="86"/>
      <c r="J57" s="86"/>
      <c r="K57" s="86"/>
      <c r="L57" s="86"/>
      <c r="M57" s="86"/>
      <c r="N57" s="86"/>
      <c r="O57" s="86"/>
      <c r="P57" s="86"/>
      <c r="Q57" s="67">
        <f t="shared" si="0"/>
        <v>0</v>
      </c>
      <c r="R57" s="67">
        <f t="shared" si="1"/>
        <v>0</v>
      </c>
      <c r="S57" s="86"/>
      <c r="T57" s="86"/>
      <c r="U57" s="86"/>
      <c r="V57" s="86"/>
      <c r="W57" s="66">
        <f t="shared" si="2"/>
        <v>0</v>
      </c>
      <c r="X57" s="98"/>
      <c r="Y57" s="68">
        <f t="shared" si="3"/>
        <v>0</v>
      </c>
      <c r="Z57" s="68">
        <f t="shared" si="4"/>
        <v>0</v>
      </c>
      <c r="AA57" s="72"/>
      <c r="AB57" s="68">
        <f t="shared" si="7"/>
        <v>0</v>
      </c>
      <c r="AC57" s="68">
        <f t="shared" si="8"/>
        <v>0</v>
      </c>
      <c r="AD57" s="68"/>
      <c r="AE57" s="55"/>
      <c r="AF57" s="69">
        <f t="shared" si="5"/>
        <v>0</v>
      </c>
      <c r="AG57" s="86"/>
      <c r="AH57" s="108"/>
      <c r="AI57" s="108"/>
      <c r="AJ57" s="108"/>
      <c r="AK57" s="70">
        <f t="shared" si="9"/>
        <v>0</v>
      </c>
      <c r="AL57" s="71"/>
      <c r="AM57" s="48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</row>
    <row r="58" spans="1:115" s="42" customFormat="1" ht="15" customHeight="1" x14ac:dyDescent="0.3">
      <c r="A58" s="65"/>
      <c r="B58" s="109"/>
      <c r="C58" s="110"/>
      <c r="D58" s="110"/>
      <c r="E58" s="111"/>
      <c r="F58" s="93"/>
      <c r="G58" s="86"/>
      <c r="H58" s="86"/>
      <c r="I58" s="86"/>
      <c r="J58" s="86"/>
      <c r="K58" s="86"/>
      <c r="L58" s="86"/>
      <c r="M58" s="86"/>
      <c r="N58" s="86"/>
      <c r="O58" s="86"/>
      <c r="P58" s="86"/>
      <c r="Q58" s="67">
        <f t="shared" si="0"/>
        <v>0</v>
      </c>
      <c r="R58" s="67">
        <f t="shared" si="1"/>
        <v>0</v>
      </c>
      <c r="S58" s="86"/>
      <c r="T58" s="86"/>
      <c r="U58" s="86"/>
      <c r="V58" s="86"/>
      <c r="W58" s="66">
        <f t="shared" si="2"/>
        <v>0</v>
      </c>
      <c r="X58" s="98"/>
      <c r="Y58" s="68">
        <f t="shared" si="3"/>
        <v>0</v>
      </c>
      <c r="Z58" s="68">
        <f t="shared" si="4"/>
        <v>0</v>
      </c>
      <c r="AA58" s="72"/>
      <c r="AB58" s="68">
        <f t="shared" si="7"/>
        <v>0</v>
      </c>
      <c r="AC58" s="68">
        <f t="shared" si="8"/>
        <v>0</v>
      </c>
      <c r="AD58" s="68"/>
      <c r="AE58" s="55"/>
      <c r="AF58" s="69">
        <f t="shared" si="5"/>
        <v>0</v>
      </c>
      <c r="AG58" s="86"/>
      <c r="AH58" s="108"/>
      <c r="AI58" s="108"/>
      <c r="AJ58" s="108"/>
      <c r="AK58" s="70">
        <f t="shared" si="9"/>
        <v>0</v>
      </c>
      <c r="AL58" s="71"/>
      <c r="AM58" s="48"/>
      <c r="AN58" s="5"/>
      <c r="AO58" s="5"/>
      <c r="AP58" s="5"/>
      <c r="AQ58" s="5"/>
      <c r="AR58" s="7"/>
      <c r="AS58" s="7"/>
      <c r="AT58" s="7"/>
      <c r="AU58" s="7"/>
      <c r="AV58" s="7"/>
      <c r="AW58"/>
      <c r="AX58"/>
      <c r="AY58"/>
      <c r="AZ58"/>
      <c r="BA58"/>
      <c r="BB58"/>
      <c r="BC58"/>
      <c r="BD58"/>
      <c r="BE58"/>
      <c r="BF58"/>
      <c r="BG58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/>
      <c r="CG58"/>
      <c r="CH58"/>
      <c r="CI58"/>
      <c r="CJ58"/>
      <c r="CK58"/>
      <c r="CL58"/>
      <c r="CM58"/>
      <c r="CN58"/>
      <c r="CO58"/>
      <c r="CP58"/>
      <c r="CQ58"/>
      <c r="CR58"/>
      <c r="CS58"/>
      <c r="CT58"/>
      <c r="CU58"/>
      <c r="CV58"/>
      <c r="CW58"/>
      <c r="CX58"/>
      <c r="CY58"/>
      <c r="CZ58"/>
      <c r="DA58"/>
      <c r="DB58"/>
      <c r="DC58"/>
      <c r="DD58"/>
      <c r="DE58"/>
      <c r="DF58"/>
      <c r="DG58"/>
      <c r="DH58"/>
      <c r="DI58"/>
      <c r="DJ58"/>
      <c r="DK58"/>
    </row>
    <row r="59" spans="1:115" s="42" customFormat="1" ht="15" customHeight="1" x14ac:dyDescent="0.3">
      <c r="A59" s="65"/>
      <c r="B59" s="109"/>
      <c r="C59" s="110"/>
      <c r="D59" s="110"/>
      <c r="E59" s="111"/>
      <c r="F59" s="85"/>
      <c r="G59" s="86"/>
      <c r="H59" s="86"/>
      <c r="I59" s="86"/>
      <c r="J59" s="86"/>
      <c r="K59" s="86"/>
      <c r="L59" s="86"/>
      <c r="M59" s="86"/>
      <c r="N59" s="86"/>
      <c r="O59" s="86"/>
      <c r="P59" s="86"/>
      <c r="Q59" s="67">
        <f t="shared" si="0"/>
        <v>0</v>
      </c>
      <c r="R59" s="67">
        <f t="shared" si="1"/>
        <v>0</v>
      </c>
      <c r="S59" s="86"/>
      <c r="T59" s="86"/>
      <c r="U59" s="86"/>
      <c r="V59" s="86"/>
      <c r="W59" s="66">
        <f t="shared" si="2"/>
        <v>0</v>
      </c>
      <c r="X59" s="98"/>
      <c r="Y59" s="68">
        <f t="shared" si="3"/>
        <v>0</v>
      </c>
      <c r="Z59" s="68">
        <f t="shared" si="4"/>
        <v>0</v>
      </c>
      <c r="AA59" s="72"/>
      <c r="AB59" s="68">
        <f t="shared" si="7"/>
        <v>0</v>
      </c>
      <c r="AC59" s="68">
        <f t="shared" si="8"/>
        <v>0</v>
      </c>
      <c r="AD59" s="68"/>
      <c r="AE59" s="55"/>
      <c r="AF59" s="69">
        <f t="shared" si="5"/>
        <v>0</v>
      </c>
      <c r="AG59" s="86"/>
      <c r="AH59" s="108"/>
      <c r="AI59" s="108"/>
      <c r="AJ59" s="108"/>
      <c r="AK59" s="70">
        <f t="shared" si="9"/>
        <v>0</v>
      </c>
      <c r="AL59" s="71"/>
      <c r="AM59" s="48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</row>
    <row r="60" spans="1:115" ht="15" customHeight="1" x14ac:dyDescent="0.3">
      <c r="A60" s="65"/>
      <c r="B60" s="109"/>
      <c r="C60" s="110"/>
      <c r="D60" s="110"/>
      <c r="E60" s="111"/>
      <c r="F60" s="85"/>
      <c r="G60" s="86"/>
      <c r="H60" s="86"/>
      <c r="I60" s="86"/>
      <c r="J60" s="86"/>
      <c r="K60" s="86"/>
      <c r="L60" s="86"/>
      <c r="M60" s="86"/>
      <c r="N60" s="86"/>
      <c r="O60" s="86"/>
      <c r="P60" s="86"/>
      <c r="Q60" s="67">
        <f t="shared" si="0"/>
        <v>0</v>
      </c>
      <c r="R60" s="67">
        <f t="shared" si="1"/>
        <v>0</v>
      </c>
      <c r="S60" s="86"/>
      <c r="T60" s="86"/>
      <c r="U60" s="86"/>
      <c r="V60" s="86"/>
      <c r="W60" s="66">
        <f t="shared" si="2"/>
        <v>0</v>
      </c>
      <c r="X60" s="98"/>
      <c r="Y60" s="68">
        <f t="shared" si="3"/>
        <v>0</v>
      </c>
      <c r="Z60" s="68">
        <f t="shared" si="4"/>
        <v>0</v>
      </c>
      <c r="AA60" s="72"/>
      <c r="AB60" s="68">
        <f t="shared" si="7"/>
        <v>0</v>
      </c>
      <c r="AC60" s="68">
        <f t="shared" si="8"/>
        <v>0</v>
      </c>
      <c r="AD60" s="68"/>
      <c r="AE60" s="55"/>
      <c r="AF60" s="69">
        <f t="shared" si="5"/>
        <v>0</v>
      </c>
      <c r="AG60" s="86"/>
      <c r="AH60" s="108"/>
      <c r="AI60" s="108"/>
      <c r="AJ60" s="108"/>
      <c r="AK60" s="70">
        <f t="shared" si="9"/>
        <v>0</v>
      </c>
      <c r="AL60" s="71"/>
      <c r="AM60" s="48"/>
      <c r="AN60" s="5"/>
      <c r="AO60" s="5"/>
      <c r="AP60" s="5"/>
      <c r="AQ60" s="5"/>
      <c r="AR60" s="7"/>
      <c r="AS60" s="7"/>
      <c r="AT60" s="7"/>
      <c r="AU60" s="7"/>
      <c r="AV60" s="7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</row>
    <row r="61" spans="1:115" ht="15.75" customHeight="1" x14ac:dyDescent="0.3">
      <c r="A61" s="65"/>
      <c r="B61" s="109"/>
      <c r="C61" s="110"/>
      <c r="D61" s="110"/>
      <c r="E61" s="111"/>
      <c r="F61" s="85"/>
      <c r="G61" s="86"/>
      <c r="H61" s="86"/>
      <c r="I61" s="86"/>
      <c r="J61" s="86"/>
      <c r="K61" s="86"/>
      <c r="L61" s="86"/>
      <c r="M61" s="86"/>
      <c r="N61" s="86"/>
      <c r="O61" s="86"/>
      <c r="P61" s="87"/>
      <c r="Q61" s="72">
        <f>P61*0.02</f>
        <v>0</v>
      </c>
      <c r="R61" s="72">
        <f>P61+Q61</f>
        <v>0</v>
      </c>
      <c r="S61" s="86"/>
      <c r="T61" s="86"/>
      <c r="U61" s="86"/>
      <c r="V61" s="86"/>
      <c r="W61" s="73">
        <f>G61+I61+K61+M61+O61+R61+S61+T61+U61+V61</f>
        <v>0</v>
      </c>
      <c r="X61" s="102"/>
      <c r="Y61" s="68">
        <f>X61*0.02</f>
        <v>0</v>
      </c>
      <c r="Z61" s="68">
        <f>X61+Y61</f>
        <v>0</v>
      </c>
      <c r="AA61" s="72"/>
      <c r="AB61" s="68">
        <f t="shared" si="7"/>
        <v>0</v>
      </c>
      <c r="AC61" s="68">
        <f t="shared" si="8"/>
        <v>0</v>
      </c>
      <c r="AD61" s="68"/>
      <c r="AE61" s="55"/>
      <c r="AF61" s="69">
        <f t="shared" si="5"/>
        <v>0</v>
      </c>
      <c r="AG61" s="86"/>
      <c r="AH61" s="108"/>
      <c r="AI61" s="108"/>
      <c r="AJ61" s="108"/>
      <c r="AK61" s="70">
        <f t="shared" si="9"/>
        <v>0</v>
      </c>
      <c r="AL61" s="71"/>
      <c r="AM61" s="48"/>
      <c r="AN61" s="5"/>
      <c r="AO61" s="5"/>
      <c r="AP61" s="5"/>
      <c r="AQ61" s="5"/>
      <c r="AR61" s="7"/>
      <c r="AS61" s="7"/>
      <c r="AT61" s="7"/>
      <c r="AU61" s="7"/>
      <c r="AV61" s="7"/>
      <c r="CE61" s="1"/>
    </row>
    <row r="62" spans="1:115" ht="15" customHeight="1" x14ac:dyDescent="0.3">
      <c r="A62" s="65"/>
      <c r="B62" s="109"/>
      <c r="C62" s="110"/>
      <c r="D62" s="110"/>
      <c r="E62" s="111"/>
      <c r="F62" s="85"/>
      <c r="G62" s="86"/>
      <c r="H62" s="86"/>
      <c r="I62" s="86"/>
      <c r="J62" s="86"/>
      <c r="K62" s="86"/>
      <c r="L62" s="86"/>
      <c r="M62" s="86"/>
      <c r="N62" s="86"/>
      <c r="O62" s="86"/>
      <c r="P62" s="86"/>
      <c r="Q62" s="67">
        <f t="shared" si="0"/>
        <v>0</v>
      </c>
      <c r="R62" s="67">
        <f t="shared" si="1"/>
        <v>0</v>
      </c>
      <c r="S62" s="86"/>
      <c r="T62" s="86"/>
      <c r="U62" s="86"/>
      <c r="V62" s="86"/>
      <c r="W62" s="66">
        <f t="shared" si="2"/>
        <v>0</v>
      </c>
      <c r="X62" s="98"/>
      <c r="Y62" s="68">
        <f t="shared" si="3"/>
        <v>0</v>
      </c>
      <c r="Z62" s="68">
        <f t="shared" si="4"/>
        <v>0</v>
      </c>
      <c r="AA62" s="72"/>
      <c r="AB62" s="68">
        <f t="shared" si="7"/>
        <v>0</v>
      </c>
      <c r="AC62" s="68">
        <f t="shared" si="8"/>
        <v>0</v>
      </c>
      <c r="AD62" s="68"/>
      <c r="AE62" s="55"/>
      <c r="AF62" s="69">
        <f t="shared" si="5"/>
        <v>0</v>
      </c>
      <c r="AG62" s="86"/>
      <c r="AH62" s="108"/>
      <c r="AI62" s="108"/>
      <c r="AJ62" s="108"/>
      <c r="AK62" s="70">
        <f t="shared" si="9"/>
        <v>0</v>
      </c>
      <c r="AL62" s="71"/>
      <c r="AM62" s="48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</row>
    <row r="63" spans="1:115" ht="15" customHeight="1" x14ac:dyDescent="0.3">
      <c r="A63" s="65"/>
      <c r="B63" s="109"/>
      <c r="C63" s="110"/>
      <c r="D63" s="110"/>
      <c r="E63" s="111"/>
      <c r="F63" s="85"/>
      <c r="G63" s="86"/>
      <c r="H63" s="86"/>
      <c r="I63" s="86"/>
      <c r="J63" s="86"/>
      <c r="K63" s="86"/>
      <c r="L63" s="86"/>
      <c r="M63" s="86"/>
      <c r="N63" s="86"/>
      <c r="O63" s="86"/>
      <c r="P63" s="86"/>
      <c r="Q63" s="67">
        <f t="shared" si="0"/>
        <v>0</v>
      </c>
      <c r="R63" s="67">
        <f t="shared" si="1"/>
        <v>0</v>
      </c>
      <c r="S63" s="86"/>
      <c r="T63" s="86"/>
      <c r="U63" s="86"/>
      <c r="V63" s="86"/>
      <c r="W63" s="66">
        <f t="shared" si="2"/>
        <v>0</v>
      </c>
      <c r="X63" s="98"/>
      <c r="Y63" s="68">
        <f t="shared" si="3"/>
        <v>0</v>
      </c>
      <c r="Z63" s="68">
        <f t="shared" si="4"/>
        <v>0</v>
      </c>
      <c r="AA63" s="72"/>
      <c r="AB63" s="68">
        <f t="shared" si="7"/>
        <v>0</v>
      </c>
      <c r="AC63" s="68">
        <f t="shared" si="8"/>
        <v>0</v>
      </c>
      <c r="AD63" s="68"/>
      <c r="AE63" s="55"/>
      <c r="AF63" s="69">
        <f t="shared" si="5"/>
        <v>0</v>
      </c>
      <c r="AG63" s="86"/>
      <c r="AH63" s="108"/>
      <c r="AI63" s="108"/>
      <c r="AJ63" s="108"/>
      <c r="AK63" s="70">
        <f t="shared" si="9"/>
        <v>0</v>
      </c>
      <c r="AL63" s="71"/>
      <c r="AM63" s="48"/>
      <c r="AN63" s="5"/>
      <c r="AO63" s="5"/>
      <c r="AP63" s="5"/>
      <c r="AQ63" s="5"/>
      <c r="AR63" s="7"/>
      <c r="AS63" s="7"/>
      <c r="AT63" s="7"/>
      <c r="AU63" s="7"/>
      <c r="AV63" s="7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</row>
    <row r="64" spans="1:115" ht="15" customHeight="1" x14ac:dyDescent="0.3">
      <c r="A64" s="65"/>
      <c r="B64" s="109"/>
      <c r="C64" s="110"/>
      <c r="D64" s="110"/>
      <c r="E64" s="111"/>
      <c r="F64" s="94"/>
      <c r="G64" s="86"/>
      <c r="H64" s="86"/>
      <c r="I64" s="86"/>
      <c r="J64" s="86"/>
      <c r="K64" s="86"/>
      <c r="L64" s="86"/>
      <c r="M64" s="86"/>
      <c r="N64" s="86"/>
      <c r="O64" s="86"/>
      <c r="P64" s="86"/>
      <c r="Q64" s="67">
        <f t="shared" si="0"/>
        <v>0</v>
      </c>
      <c r="R64" s="67">
        <f t="shared" si="1"/>
        <v>0</v>
      </c>
      <c r="S64" s="86"/>
      <c r="T64" s="86"/>
      <c r="U64" s="86"/>
      <c r="V64" s="86"/>
      <c r="W64" s="66">
        <f t="shared" si="2"/>
        <v>0</v>
      </c>
      <c r="X64" s="98"/>
      <c r="Y64" s="68">
        <f t="shared" si="3"/>
        <v>0</v>
      </c>
      <c r="Z64" s="68">
        <f t="shared" si="4"/>
        <v>0</v>
      </c>
      <c r="AA64" s="72"/>
      <c r="AB64" s="68">
        <f t="shared" si="7"/>
        <v>0</v>
      </c>
      <c r="AC64" s="68">
        <f t="shared" si="8"/>
        <v>0</v>
      </c>
      <c r="AD64" s="68"/>
      <c r="AE64" s="55"/>
      <c r="AF64" s="69">
        <f t="shared" si="5"/>
        <v>0</v>
      </c>
      <c r="AG64" s="86"/>
      <c r="AH64" s="108"/>
      <c r="AI64" s="108"/>
      <c r="AJ64" s="108"/>
      <c r="AK64" s="70">
        <f t="shared" si="9"/>
        <v>0</v>
      </c>
      <c r="AL64" s="71"/>
      <c r="AM64" s="48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</row>
    <row r="65" spans="1:151" s="75" customFormat="1" ht="15" customHeight="1" x14ac:dyDescent="0.3">
      <c r="A65" s="65"/>
      <c r="B65" s="109"/>
      <c r="C65" s="110"/>
      <c r="D65" s="110"/>
      <c r="E65" s="111"/>
      <c r="F65" s="85"/>
      <c r="G65" s="86"/>
      <c r="H65" s="86"/>
      <c r="I65" s="86"/>
      <c r="J65" s="86"/>
      <c r="K65" s="86"/>
      <c r="L65" s="86"/>
      <c r="M65" s="86"/>
      <c r="N65" s="86"/>
      <c r="O65" s="86"/>
      <c r="P65" s="86"/>
      <c r="Q65" s="67">
        <f t="shared" si="0"/>
        <v>0</v>
      </c>
      <c r="R65" s="67">
        <f t="shared" si="1"/>
        <v>0</v>
      </c>
      <c r="S65" s="86"/>
      <c r="T65" s="86"/>
      <c r="U65" s="86"/>
      <c r="V65" s="86"/>
      <c r="W65" s="66">
        <f t="shared" si="2"/>
        <v>0</v>
      </c>
      <c r="X65" s="98"/>
      <c r="Y65" s="68">
        <f t="shared" si="3"/>
        <v>0</v>
      </c>
      <c r="Z65" s="68">
        <f t="shared" si="4"/>
        <v>0</v>
      </c>
      <c r="AA65" s="72"/>
      <c r="AB65" s="68">
        <f t="shared" si="7"/>
        <v>0</v>
      </c>
      <c r="AC65" s="68">
        <f t="shared" si="8"/>
        <v>0</v>
      </c>
      <c r="AD65" s="68"/>
      <c r="AE65" s="55"/>
      <c r="AF65" s="69">
        <f t="shared" si="5"/>
        <v>0</v>
      </c>
      <c r="AG65" s="86"/>
      <c r="AH65" s="108"/>
      <c r="AI65" s="108"/>
      <c r="AJ65" s="108"/>
      <c r="AK65" s="70">
        <f t="shared" si="9"/>
        <v>0</v>
      </c>
      <c r="AL65" s="71"/>
      <c r="AM65" s="48"/>
      <c r="AN65" s="5"/>
      <c r="AO65" s="5"/>
      <c r="AP65" s="5"/>
      <c r="AQ65" s="5"/>
      <c r="AR65" s="7"/>
      <c r="AS65" s="7"/>
      <c r="AT65" s="7"/>
      <c r="AU65" s="7"/>
      <c r="AV65" s="7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  <c r="BR65"/>
      <c r="BS65"/>
      <c r="BT65"/>
      <c r="BU65"/>
      <c r="BV65"/>
      <c r="BW65"/>
      <c r="BX65"/>
      <c r="BY65"/>
      <c r="BZ65"/>
      <c r="CA65"/>
      <c r="CB65"/>
      <c r="CC65"/>
      <c r="CD65"/>
      <c r="CE65" s="1"/>
      <c r="CF65"/>
      <c r="CG65"/>
      <c r="CH65"/>
      <c r="CI65"/>
      <c r="CJ65"/>
      <c r="CK65"/>
      <c r="CL65"/>
      <c r="CM65"/>
      <c r="CN65"/>
      <c r="CO65"/>
      <c r="CP65"/>
      <c r="CQ65"/>
      <c r="CR65"/>
      <c r="CS65"/>
      <c r="CT65"/>
      <c r="CU65"/>
      <c r="CV65"/>
      <c r="CW65"/>
      <c r="CX65"/>
      <c r="CY65"/>
      <c r="CZ65"/>
      <c r="DA65"/>
      <c r="DB65"/>
      <c r="DC65"/>
      <c r="DD65"/>
      <c r="DE65"/>
      <c r="DF65"/>
      <c r="DG65"/>
      <c r="DH65"/>
      <c r="DI65"/>
      <c r="DJ65"/>
      <c r="DK65"/>
      <c r="DL65"/>
      <c r="DM65"/>
      <c r="DN65"/>
      <c r="DO65"/>
      <c r="DP65"/>
      <c r="DQ65"/>
      <c r="DR65"/>
      <c r="DS65"/>
      <c r="DT65"/>
      <c r="DU65"/>
      <c r="DV65"/>
      <c r="DW65"/>
      <c r="DX65"/>
      <c r="DY65"/>
      <c r="DZ65"/>
      <c r="EA65"/>
      <c r="EB65"/>
      <c r="EC65"/>
      <c r="ED65"/>
      <c r="EE65"/>
      <c r="EF65"/>
      <c r="EG65"/>
      <c r="EH65"/>
      <c r="EI65"/>
      <c r="EJ65"/>
      <c r="EK65"/>
      <c r="EL65"/>
      <c r="EM65"/>
      <c r="EN65"/>
      <c r="EO65"/>
      <c r="EP65"/>
      <c r="EQ65"/>
      <c r="ER65"/>
      <c r="ES65"/>
      <c r="ET65"/>
      <c r="EU65"/>
    </row>
    <row r="66" spans="1:151" ht="15" customHeight="1" x14ac:dyDescent="0.3">
      <c r="A66" s="65"/>
      <c r="B66" s="109"/>
      <c r="C66" s="110"/>
      <c r="D66" s="110"/>
      <c r="E66" s="111"/>
      <c r="F66" s="85"/>
      <c r="G66" s="86"/>
      <c r="H66" s="86"/>
      <c r="I66" s="86"/>
      <c r="J66" s="86"/>
      <c r="K66" s="86"/>
      <c r="L66" s="86"/>
      <c r="M66" s="86"/>
      <c r="N66" s="86"/>
      <c r="O66" s="86"/>
      <c r="P66" s="86"/>
      <c r="Q66" s="67">
        <f t="shared" si="0"/>
        <v>0</v>
      </c>
      <c r="R66" s="67">
        <f t="shared" si="1"/>
        <v>0</v>
      </c>
      <c r="S66" s="86"/>
      <c r="T66" s="86"/>
      <c r="U66" s="86"/>
      <c r="V66" s="86"/>
      <c r="W66" s="66">
        <f t="shared" si="2"/>
        <v>0</v>
      </c>
      <c r="X66" s="96"/>
      <c r="Y66" s="68">
        <f t="shared" si="3"/>
        <v>0</v>
      </c>
      <c r="Z66" s="68">
        <f t="shared" si="4"/>
        <v>0</v>
      </c>
      <c r="AA66" s="72"/>
      <c r="AB66" s="68">
        <f t="shared" si="7"/>
        <v>0</v>
      </c>
      <c r="AC66" s="68">
        <f t="shared" si="8"/>
        <v>0</v>
      </c>
      <c r="AD66" s="68"/>
      <c r="AE66" s="55"/>
      <c r="AF66" s="69">
        <f t="shared" si="5"/>
        <v>0</v>
      </c>
      <c r="AG66" s="86"/>
      <c r="AH66" s="108"/>
      <c r="AI66" s="108"/>
      <c r="AJ66" s="108"/>
      <c r="AK66" s="70">
        <f t="shared" si="9"/>
        <v>0</v>
      </c>
      <c r="AL66" s="71"/>
      <c r="AM66" s="48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</row>
    <row r="67" spans="1:151" s="42" customFormat="1" ht="15" customHeight="1" x14ac:dyDescent="0.3">
      <c r="A67" s="65"/>
      <c r="B67" s="109"/>
      <c r="C67" s="110"/>
      <c r="D67" s="110"/>
      <c r="E67" s="111"/>
      <c r="F67" s="85"/>
      <c r="G67" s="86"/>
      <c r="H67" s="86"/>
      <c r="I67" s="86"/>
      <c r="J67" s="86"/>
      <c r="K67" s="86"/>
      <c r="L67" s="86"/>
      <c r="M67" s="86"/>
      <c r="N67" s="86"/>
      <c r="O67" s="86"/>
      <c r="P67" s="86"/>
      <c r="Q67" s="67">
        <f t="shared" si="0"/>
        <v>0</v>
      </c>
      <c r="R67" s="67">
        <f t="shared" si="1"/>
        <v>0</v>
      </c>
      <c r="S67" s="86"/>
      <c r="T67" s="86"/>
      <c r="U67" s="86"/>
      <c r="V67" s="86"/>
      <c r="W67" s="66">
        <f t="shared" si="2"/>
        <v>0</v>
      </c>
      <c r="X67" s="98"/>
      <c r="Y67" s="68">
        <f t="shared" si="3"/>
        <v>0</v>
      </c>
      <c r="Z67" s="68">
        <f t="shared" si="4"/>
        <v>0</v>
      </c>
      <c r="AA67" s="72"/>
      <c r="AB67" s="68">
        <f t="shared" si="7"/>
        <v>0</v>
      </c>
      <c r="AC67" s="68">
        <f t="shared" si="8"/>
        <v>0</v>
      </c>
      <c r="AD67" s="68"/>
      <c r="AE67" s="55"/>
      <c r="AF67" s="69">
        <f t="shared" si="5"/>
        <v>0</v>
      </c>
      <c r="AG67" s="86"/>
      <c r="AH67" s="108"/>
      <c r="AI67" s="108"/>
      <c r="AJ67" s="108"/>
      <c r="AK67" s="70">
        <f t="shared" si="9"/>
        <v>0</v>
      </c>
      <c r="AL67" s="71"/>
      <c r="AM67" s="48"/>
      <c r="AN67" s="5"/>
      <c r="AO67" s="5"/>
      <c r="AP67" s="5"/>
      <c r="AQ67" s="5"/>
      <c r="AR67" s="7"/>
      <c r="AS67" s="7"/>
      <c r="AT67" s="7"/>
      <c r="AU67" s="7"/>
      <c r="AV67" s="7"/>
      <c r="AW67"/>
      <c r="AX67"/>
      <c r="AY67"/>
      <c r="AZ67"/>
      <c r="BA67"/>
      <c r="BB67"/>
      <c r="BC67"/>
      <c r="BD67"/>
      <c r="BE67"/>
      <c r="BF67"/>
      <c r="BG67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/>
      <c r="CG67"/>
      <c r="CH67"/>
      <c r="CI67"/>
      <c r="CJ67"/>
      <c r="CK67"/>
      <c r="CL67"/>
      <c r="CM67"/>
      <c r="CN67"/>
      <c r="CO67"/>
      <c r="CP67"/>
      <c r="CQ67"/>
      <c r="CR67"/>
      <c r="CS67"/>
      <c r="CT67"/>
      <c r="CU67"/>
      <c r="CV67"/>
      <c r="CW67"/>
      <c r="CX67"/>
      <c r="CY67"/>
      <c r="CZ67"/>
      <c r="DA67"/>
      <c r="DB67"/>
      <c r="DC67"/>
      <c r="DD67"/>
      <c r="DE67"/>
      <c r="DF67"/>
      <c r="DG67"/>
      <c r="DH67"/>
      <c r="DI67"/>
      <c r="DJ67"/>
      <c r="DK67"/>
      <c r="DL67"/>
      <c r="DM67"/>
      <c r="DN67"/>
      <c r="DO67"/>
      <c r="DP67"/>
      <c r="DQ67"/>
      <c r="DR67"/>
      <c r="DS67"/>
      <c r="DT67"/>
      <c r="DU67"/>
      <c r="DV67"/>
      <c r="DW67"/>
      <c r="DX67"/>
      <c r="DY67"/>
      <c r="DZ67"/>
      <c r="EA67"/>
      <c r="EB67"/>
      <c r="EC67"/>
      <c r="ED67"/>
      <c r="EE67"/>
      <c r="EF67"/>
      <c r="EG67"/>
      <c r="EH67"/>
      <c r="EI67"/>
      <c r="EJ67"/>
      <c r="EK67"/>
      <c r="EL67"/>
      <c r="EM67"/>
      <c r="EN67"/>
      <c r="EO67"/>
      <c r="EP67"/>
      <c r="EQ67"/>
      <c r="ER67"/>
      <c r="ES67"/>
      <c r="ET67"/>
      <c r="EU67"/>
    </row>
    <row r="68" spans="1:151" ht="15" customHeight="1" x14ac:dyDescent="0.3">
      <c r="A68" s="65"/>
      <c r="B68" s="109"/>
      <c r="C68" s="110"/>
      <c r="D68" s="110"/>
      <c r="E68" s="111"/>
      <c r="F68" s="85" t="s">
        <v>53</v>
      </c>
      <c r="G68" s="86"/>
      <c r="H68" s="86"/>
      <c r="I68" s="86"/>
      <c r="J68" s="86"/>
      <c r="K68" s="86"/>
      <c r="L68" s="86"/>
      <c r="M68" s="86"/>
      <c r="N68" s="86"/>
      <c r="O68" s="86"/>
      <c r="P68" s="89"/>
      <c r="Q68" s="67">
        <f t="shared" si="0"/>
        <v>0</v>
      </c>
      <c r="R68" s="67">
        <f t="shared" si="1"/>
        <v>0</v>
      </c>
      <c r="S68" s="86"/>
      <c r="T68" s="86"/>
      <c r="U68" s="86"/>
      <c r="V68" s="86"/>
      <c r="W68" s="66">
        <f t="shared" si="2"/>
        <v>0</v>
      </c>
      <c r="X68" s="97"/>
      <c r="Y68" s="68">
        <f t="shared" si="3"/>
        <v>0</v>
      </c>
      <c r="Z68" s="68">
        <f t="shared" si="4"/>
        <v>0</v>
      </c>
      <c r="AA68" s="72"/>
      <c r="AB68" s="68">
        <f t="shared" si="7"/>
        <v>0</v>
      </c>
      <c r="AC68" s="68">
        <f t="shared" si="8"/>
        <v>0</v>
      </c>
      <c r="AD68" s="68"/>
      <c r="AE68" s="55"/>
      <c r="AF68" s="69">
        <f t="shared" si="5"/>
        <v>0</v>
      </c>
      <c r="AG68" s="86"/>
      <c r="AH68" s="108"/>
      <c r="AI68" s="108"/>
      <c r="AJ68" s="108"/>
      <c r="AK68" s="70">
        <f t="shared" si="9"/>
        <v>0</v>
      </c>
      <c r="AL68" s="71"/>
      <c r="AM68" s="48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</row>
    <row r="69" spans="1:151" ht="15" customHeight="1" x14ac:dyDescent="0.3">
      <c r="A69" s="65"/>
      <c r="B69" s="109"/>
      <c r="C69" s="110"/>
      <c r="D69" s="110"/>
      <c r="E69" s="111"/>
      <c r="F69" s="95"/>
      <c r="G69" s="86"/>
      <c r="H69" s="86"/>
      <c r="I69" s="86"/>
      <c r="J69" s="86"/>
      <c r="K69" s="86"/>
      <c r="L69" s="86"/>
      <c r="M69" s="86"/>
      <c r="N69" s="86"/>
      <c r="O69" s="86"/>
      <c r="P69" s="89"/>
      <c r="Q69" s="67">
        <f t="shared" ref="Q69:Q73" si="19">P69*0.02</f>
        <v>0</v>
      </c>
      <c r="R69" s="67">
        <f t="shared" ref="R69:R73" si="20">P69+Q69</f>
        <v>0</v>
      </c>
      <c r="S69" s="86"/>
      <c r="T69" s="86"/>
      <c r="U69" s="86"/>
      <c r="V69" s="86"/>
      <c r="W69" s="66">
        <f t="shared" ref="W69:W73" si="21">G69+I69+K69+M69+O69+R69+S69+T69+U69+V69</f>
        <v>0</v>
      </c>
      <c r="X69" s="97"/>
      <c r="Y69" s="68">
        <f t="shared" ref="Y69:Y73" si="22">X69*0.02</f>
        <v>0</v>
      </c>
      <c r="Z69" s="68">
        <f t="shared" ref="Z69:Z73" si="23">X69+Y69</f>
        <v>0</v>
      </c>
      <c r="AA69" s="72"/>
      <c r="AB69" s="68">
        <f t="shared" si="7"/>
        <v>0</v>
      </c>
      <c r="AC69" s="68">
        <f t="shared" si="8"/>
        <v>0</v>
      </c>
      <c r="AD69" s="68"/>
      <c r="AE69" s="55"/>
      <c r="AF69" s="69">
        <f t="shared" si="5"/>
        <v>0</v>
      </c>
      <c r="AG69" s="86"/>
      <c r="AH69" s="108"/>
      <c r="AI69" s="108"/>
      <c r="AJ69" s="108"/>
      <c r="AK69" s="70">
        <f t="shared" si="9"/>
        <v>0</v>
      </c>
      <c r="AL69" s="71"/>
      <c r="AM69" s="48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</row>
    <row r="70" spans="1:151" ht="15" customHeight="1" x14ac:dyDescent="0.3">
      <c r="A70" s="65"/>
      <c r="B70" s="109"/>
      <c r="C70" s="110"/>
      <c r="D70" s="110"/>
      <c r="E70" s="111"/>
      <c r="F70" s="95"/>
      <c r="G70" s="86"/>
      <c r="H70" s="86"/>
      <c r="I70" s="86"/>
      <c r="J70" s="86"/>
      <c r="K70" s="86"/>
      <c r="L70" s="86"/>
      <c r="M70" s="86"/>
      <c r="N70" s="86"/>
      <c r="O70" s="86"/>
      <c r="P70" s="89"/>
      <c r="Q70" s="67">
        <f t="shared" si="19"/>
        <v>0</v>
      </c>
      <c r="R70" s="67">
        <f t="shared" si="20"/>
        <v>0</v>
      </c>
      <c r="S70" s="86"/>
      <c r="T70" s="86"/>
      <c r="U70" s="86"/>
      <c r="V70" s="86"/>
      <c r="W70" s="66">
        <f t="shared" si="21"/>
        <v>0</v>
      </c>
      <c r="X70" s="97"/>
      <c r="Y70" s="68">
        <f t="shared" si="22"/>
        <v>0</v>
      </c>
      <c r="Z70" s="68">
        <f t="shared" si="23"/>
        <v>0</v>
      </c>
      <c r="AA70" s="72"/>
      <c r="AB70" s="68">
        <f t="shared" si="7"/>
        <v>0</v>
      </c>
      <c r="AC70" s="68">
        <f t="shared" si="8"/>
        <v>0</v>
      </c>
      <c r="AD70" s="68"/>
      <c r="AE70" s="55"/>
      <c r="AF70" s="69">
        <f t="shared" si="5"/>
        <v>0</v>
      </c>
      <c r="AG70" s="86"/>
      <c r="AH70" s="108"/>
      <c r="AI70" s="108"/>
      <c r="AJ70" s="108"/>
      <c r="AK70" s="70">
        <f t="shared" si="9"/>
        <v>0</v>
      </c>
      <c r="AL70" s="71"/>
      <c r="AM70" s="48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</row>
    <row r="71" spans="1:151" ht="15" customHeight="1" x14ac:dyDescent="0.3">
      <c r="A71" s="65"/>
      <c r="B71" s="109"/>
      <c r="C71" s="110"/>
      <c r="D71" s="110"/>
      <c r="E71" s="111"/>
      <c r="F71" s="95"/>
      <c r="G71" s="86"/>
      <c r="H71" s="86"/>
      <c r="I71" s="86"/>
      <c r="J71" s="86"/>
      <c r="K71" s="86"/>
      <c r="L71" s="86"/>
      <c r="M71" s="86"/>
      <c r="N71" s="86"/>
      <c r="O71" s="86"/>
      <c r="P71" s="89"/>
      <c r="Q71" s="67">
        <f t="shared" si="19"/>
        <v>0</v>
      </c>
      <c r="R71" s="67">
        <f t="shared" si="20"/>
        <v>0</v>
      </c>
      <c r="S71" s="86"/>
      <c r="T71" s="86"/>
      <c r="U71" s="86"/>
      <c r="V71" s="86"/>
      <c r="W71" s="66">
        <f t="shared" si="21"/>
        <v>0</v>
      </c>
      <c r="X71" s="97"/>
      <c r="Y71" s="68">
        <f t="shared" si="22"/>
        <v>0</v>
      </c>
      <c r="Z71" s="68">
        <f t="shared" si="23"/>
        <v>0</v>
      </c>
      <c r="AA71" s="72"/>
      <c r="AB71" s="68">
        <f t="shared" si="7"/>
        <v>0</v>
      </c>
      <c r="AC71" s="68">
        <f t="shared" si="8"/>
        <v>0</v>
      </c>
      <c r="AD71" s="68"/>
      <c r="AE71" s="55"/>
      <c r="AF71" s="69">
        <f t="shared" si="5"/>
        <v>0</v>
      </c>
      <c r="AG71" s="86"/>
      <c r="AH71" s="108"/>
      <c r="AI71" s="108"/>
      <c r="AJ71" s="108"/>
      <c r="AK71" s="70">
        <f t="shared" si="9"/>
        <v>0</v>
      </c>
      <c r="AL71" s="71"/>
      <c r="AM71" s="48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</row>
    <row r="72" spans="1:151" ht="15" customHeight="1" x14ac:dyDescent="0.3">
      <c r="A72" s="65"/>
      <c r="B72" s="109"/>
      <c r="C72" s="110"/>
      <c r="D72" s="110"/>
      <c r="E72" s="111"/>
      <c r="F72" s="95"/>
      <c r="G72" s="86"/>
      <c r="H72" s="86"/>
      <c r="I72" s="86"/>
      <c r="J72" s="86"/>
      <c r="K72" s="86"/>
      <c r="L72" s="86"/>
      <c r="M72" s="86"/>
      <c r="N72" s="86"/>
      <c r="O72" s="86"/>
      <c r="P72" s="89"/>
      <c r="Q72" s="67">
        <f t="shared" si="19"/>
        <v>0</v>
      </c>
      <c r="R72" s="67">
        <f t="shared" si="20"/>
        <v>0</v>
      </c>
      <c r="S72" s="86"/>
      <c r="T72" s="86"/>
      <c r="U72" s="86"/>
      <c r="V72" s="86"/>
      <c r="W72" s="66">
        <f t="shared" si="21"/>
        <v>0</v>
      </c>
      <c r="X72" s="97"/>
      <c r="Y72" s="68">
        <f t="shared" si="22"/>
        <v>0</v>
      </c>
      <c r="Z72" s="68">
        <f t="shared" si="23"/>
        <v>0</v>
      </c>
      <c r="AA72" s="72"/>
      <c r="AB72" s="68">
        <f t="shared" si="7"/>
        <v>0</v>
      </c>
      <c r="AC72" s="68">
        <f t="shared" si="8"/>
        <v>0</v>
      </c>
      <c r="AD72" s="68"/>
      <c r="AE72" s="55"/>
      <c r="AF72" s="69">
        <f t="shared" si="5"/>
        <v>0</v>
      </c>
      <c r="AG72" s="86"/>
      <c r="AH72" s="108"/>
      <c r="AI72" s="108"/>
      <c r="AJ72" s="108"/>
      <c r="AK72" s="70">
        <f t="shared" si="9"/>
        <v>0</v>
      </c>
      <c r="AL72" s="71"/>
      <c r="AM72" s="48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</row>
    <row r="73" spans="1:151" ht="15" customHeight="1" thickBot="1" x14ac:dyDescent="0.35">
      <c r="A73" s="65"/>
      <c r="B73" s="109"/>
      <c r="C73" s="110"/>
      <c r="D73" s="110"/>
      <c r="E73" s="111"/>
      <c r="F73" s="95"/>
      <c r="G73" s="86"/>
      <c r="H73" s="86"/>
      <c r="I73" s="86"/>
      <c r="J73" s="86"/>
      <c r="K73" s="86"/>
      <c r="L73" s="86"/>
      <c r="M73" s="86"/>
      <c r="N73" s="86"/>
      <c r="O73" s="86"/>
      <c r="P73" s="89"/>
      <c r="Q73" s="67">
        <f t="shared" si="19"/>
        <v>0</v>
      </c>
      <c r="R73" s="67">
        <f t="shared" si="20"/>
        <v>0</v>
      </c>
      <c r="S73" s="86"/>
      <c r="T73" s="86"/>
      <c r="U73" s="86"/>
      <c r="V73" s="86"/>
      <c r="W73" s="66">
        <f t="shared" si="21"/>
        <v>0</v>
      </c>
      <c r="X73" s="97"/>
      <c r="Y73" s="68">
        <f t="shared" si="22"/>
        <v>0</v>
      </c>
      <c r="Z73" s="68">
        <f t="shared" si="23"/>
        <v>0</v>
      </c>
      <c r="AA73" s="72"/>
      <c r="AB73" s="68">
        <f t="shared" si="7"/>
        <v>0</v>
      </c>
      <c r="AC73" s="68">
        <f t="shared" si="8"/>
        <v>0</v>
      </c>
      <c r="AD73" s="68"/>
      <c r="AE73" s="55"/>
      <c r="AF73" s="69">
        <f t="shared" si="5"/>
        <v>0</v>
      </c>
      <c r="AG73" s="86"/>
      <c r="AH73" s="108"/>
      <c r="AI73" s="108"/>
      <c r="AJ73" s="108"/>
      <c r="AK73" s="70">
        <f t="shared" si="9"/>
        <v>0</v>
      </c>
      <c r="AL73" s="71"/>
      <c r="AM73" s="48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</row>
    <row r="74" spans="1:151" ht="15" customHeight="1" thickBot="1" x14ac:dyDescent="0.35">
      <c r="A74" s="76" t="s">
        <v>54</v>
      </c>
      <c r="B74" s="77"/>
      <c r="C74" s="78"/>
      <c r="D74" s="77"/>
      <c r="E74" s="79"/>
      <c r="F74" s="80"/>
      <c r="G74" s="81">
        <f>SUM(G7:G73)</f>
        <v>0</v>
      </c>
      <c r="H74" s="81"/>
      <c r="I74" s="81">
        <f t="shared" ref="I74:AK74" si="24">SUM(I7:I73)</f>
        <v>0</v>
      </c>
      <c r="J74" s="81">
        <f t="shared" si="24"/>
        <v>0</v>
      </c>
      <c r="K74" s="81">
        <f t="shared" si="24"/>
        <v>0</v>
      </c>
      <c r="L74" s="81">
        <f t="shared" si="24"/>
        <v>0</v>
      </c>
      <c r="M74" s="81">
        <f t="shared" si="24"/>
        <v>0</v>
      </c>
      <c r="N74" s="81">
        <f t="shared" si="24"/>
        <v>0</v>
      </c>
      <c r="O74" s="81">
        <f t="shared" si="24"/>
        <v>0</v>
      </c>
      <c r="P74" s="81">
        <f t="shared" si="24"/>
        <v>0</v>
      </c>
      <c r="Q74" s="81">
        <f t="shared" si="24"/>
        <v>0</v>
      </c>
      <c r="R74" s="81">
        <f t="shared" si="24"/>
        <v>0</v>
      </c>
      <c r="S74" s="81">
        <f t="shared" si="24"/>
        <v>0</v>
      </c>
      <c r="T74" s="81">
        <f t="shared" si="24"/>
        <v>0</v>
      </c>
      <c r="U74" s="81">
        <f t="shared" si="24"/>
        <v>0</v>
      </c>
      <c r="V74" s="81">
        <f t="shared" si="24"/>
        <v>0</v>
      </c>
      <c r="W74" s="81">
        <f t="shared" si="24"/>
        <v>0</v>
      </c>
      <c r="X74" s="81">
        <f t="shared" si="24"/>
        <v>0</v>
      </c>
      <c r="Y74" s="81">
        <f t="shared" si="24"/>
        <v>0</v>
      </c>
      <c r="Z74" s="81">
        <f t="shared" si="24"/>
        <v>0</v>
      </c>
      <c r="AA74" s="81">
        <f t="shared" si="24"/>
        <v>0</v>
      </c>
      <c r="AB74" s="81">
        <f t="shared" si="24"/>
        <v>0</v>
      </c>
      <c r="AC74" s="81">
        <f t="shared" si="24"/>
        <v>0</v>
      </c>
      <c r="AD74" s="81">
        <f t="shared" si="24"/>
        <v>0</v>
      </c>
      <c r="AE74" s="81">
        <f t="shared" si="24"/>
        <v>0</v>
      </c>
      <c r="AF74" s="81">
        <f t="shared" si="24"/>
        <v>0</v>
      </c>
      <c r="AG74" s="81">
        <f t="shared" si="24"/>
        <v>0</v>
      </c>
      <c r="AH74" s="81">
        <f t="shared" si="24"/>
        <v>0</v>
      </c>
      <c r="AI74" s="81">
        <f t="shared" si="24"/>
        <v>0</v>
      </c>
      <c r="AJ74" s="81">
        <f t="shared" si="24"/>
        <v>0</v>
      </c>
      <c r="AK74" s="81">
        <f t="shared" si="24"/>
        <v>0</v>
      </c>
      <c r="AL74" s="82" t="s">
        <v>54</v>
      </c>
      <c r="AM74" s="83"/>
      <c r="AN74" s="5"/>
      <c r="AO74" s="5"/>
      <c r="AP74" s="5"/>
      <c r="AQ74" s="5"/>
      <c r="AR74" s="7"/>
      <c r="AS74" s="7"/>
      <c r="AT74" s="7"/>
      <c r="AU74" s="7"/>
      <c r="AV74" s="7"/>
      <c r="CE74" s="1"/>
    </row>
    <row r="75" spans="1:151" x14ac:dyDescent="0.3">
      <c r="AG75" s="84"/>
    </row>
    <row r="76" spans="1:151" x14ac:dyDescent="0.3">
      <c r="AG76" s="84"/>
    </row>
    <row r="77" spans="1:151" x14ac:dyDescent="0.3">
      <c r="AG77" s="84"/>
    </row>
    <row r="78" spans="1:151" x14ac:dyDescent="0.3">
      <c r="AG78" s="84"/>
    </row>
    <row r="79" spans="1:151" x14ac:dyDescent="0.3">
      <c r="AG79" s="84"/>
    </row>
    <row r="80" spans="1:151" x14ac:dyDescent="0.3">
      <c r="AG80" s="84"/>
    </row>
    <row r="81" spans="33:33" x14ac:dyDescent="0.3">
      <c r="AG81" s="84"/>
    </row>
    <row r="82" spans="33:33" x14ac:dyDescent="0.3">
      <c r="AG82" s="84"/>
    </row>
    <row r="83" spans="33:33" x14ac:dyDescent="0.3">
      <c r="AG83" s="84"/>
    </row>
    <row r="84" spans="33:33" x14ac:dyDescent="0.3">
      <c r="AG84" s="84"/>
    </row>
    <row r="85" spans="33:33" x14ac:dyDescent="0.3">
      <c r="AG85" s="84"/>
    </row>
    <row r="86" spans="33:33" x14ac:dyDescent="0.3">
      <c r="AG86" s="84"/>
    </row>
    <row r="87" spans="33:33" x14ac:dyDescent="0.3">
      <c r="AG87" s="84"/>
    </row>
    <row r="88" spans="33:33" x14ac:dyDescent="0.3">
      <c r="AG88" s="84"/>
    </row>
    <row r="89" spans="33:33" x14ac:dyDescent="0.3">
      <c r="AG89" s="84"/>
    </row>
    <row r="90" spans="33:33" x14ac:dyDescent="0.3">
      <c r="AG90" s="84"/>
    </row>
    <row r="91" spans="33:33" x14ac:dyDescent="0.3">
      <c r="AG91" s="84"/>
    </row>
    <row r="92" spans="33:33" x14ac:dyDescent="0.3">
      <c r="AG92" s="84"/>
    </row>
    <row r="93" spans="33:33" x14ac:dyDescent="0.3">
      <c r="AG93" s="84"/>
    </row>
    <row r="94" spans="33:33" x14ac:dyDescent="0.3">
      <c r="AG94" s="84"/>
    </row>
    <row r="95" spans="33:33" x14ac:dyDescent="0.3">
      <c r="AG95" s="84"/>
    </row>
    <row r="96" spans="33:33" x14ac:dyDescent="0.3">
      <c r="AG96" s="84"/>
    </row>
    <row r="97" spans="33:33" x14ac:dyDescent="0.3">
      <c r="AG97" s="84"/>
    </row>
    <row r="98" spans="33:33" x14ac:dyDescent="0.3">
      <c r="AG98" s="84"/>
    </row>
    <row r="99" spans="33:33" x14ac:dyDescent="0.3">
      <c r="AG99" s="84"/>
    </row>
    <row r="100" spans="33:33" x14ac:dyDescent="0.3">
      <c r="AG100" s="84"/>
    </row>
    <row r="101" spans="33:33" x14ac:dyDescent="0.3">
      <c r="AG101" s="84"/>
    </row>
    <row r="102" spans="33:33" x14ac:dyDescent="0.3">
      <c r="AG102" s="84"/>
    </row>
    <row r="103" spans="33:33" x14ac:dyDescent="0.3">
      <c r="AG103" s="84"/>
    </row>
    <row r="104" spans="33:33" x14ac:dyDescent="0.3">
      <c r="AG104" s="84"/>
    </row>
    <row r="105" spans="33:33" x14ac:dyDescent="0.3">
      <c r="AG105" s="84"/>
    </row>
    <row r="106" spans="33:33" x14ac:dyDescent="0.3">
      <c r="AG106" s="84"/>
    </row>
    <row r="107" spans="33:33" x14ac:dyDescent="0.3">
      <c r="AG107" s="84"/>
    </row>
    <row r="108" spans="33:33" x14ac:dyDescent="0.3">
      <c r="AG108" s="84"/>
    </row>
    <row r="109" spans="33:33" x14ac:dyDescent="0.3">
      <c r="AG109" s="84"/>
    </row>
    <row r="110" spans="33:33" x14ac:dyDescent="0.3">
      <c r="AG110" s="84"/>
    </row>
    <row r="111" spans="33:33" x14ac:dyDescent="0.3">
      <c r="AG111" s="84"/>
    </row>
    <row r="112" spans="33:33" x14ac:dyDescent="0.3">
      <c r="AG112" s="84"/>
    </row>
    <row r="113" spans="33:33" x14ac:dyDescent="0.3">
      <c r="AG113" s="84"/>
    </row>
    <row r="114" spans="33:33" x14ac:dyDescent="0.3">
      <c r="AG114" s="84"/>
    </row>
    <row r="115" spans="33:33" x14ac:dyDescent="0.3">
      <c r="AG115" s="84"/>
    </row>
    <row r="116" spans="33:33" x14ac:dyDescent="0.3">
      <c r="AG116" s="84"/>
    </row>
    <row r="117" spans="33:33" x14ac:dyDescent="0.3">
      <c r="AG117" s="84"/>
    </row>
    <row r="118" spans="33:33" x14ac:dyDescent="0.3">
      <c r="AG118" s="84"/>
    </row>
    <row r="119" spans="33:33" x14ac:dyDescent="0.3">
      <c r="AG119" s="84"/>
    </row>
    <row r="120" spans="33:33" x14ac:dyDescent="0.3">
      <c r="AG120" s="84"/>
    </row>
    <row r="121" spans="33:33" x14ac:dyDescent="0.3">
      <c r="AG121" s="84"/>
    </row>
    <row r="122" spans="33:33" x14ac:dyDescent="0.3">
      <c r="AG122" s="84"/>
    </row>
    <row r="123" spans="33:33" x14ac:dyDescent="0.3">
      <c r="AG123" s="84"/>
    </row>
    <row r="124" spans="33:33" x14ac:dyDescent="0.3">
      <c r="AG124" s="84"/>
    </row>
    <row r="125" spans="33:33" x14ac:dyDescent="0.3">
      <c r="AG125" s="84"/>
    </row>
    <row r="126" spans="33:33" x14ac:dyDescent="0.3">
      <c r="AG126" s="84"/>
    </row>
    <row r="127" spans="33:33" x14ac:dyDescent="0.3">
      <c r="AG127" s="84"/>
    </row>
    <row r="128" spans="33:33" x14ac:dyDescent="0.3">
      <c r="AG128" s="84"/>
    </row>
    <row r="129" spans="33:33" x14ac:dyDescent="0.3">
      <c r="AG129" s="84"/>
    </row>
    <row r="130" spans="33:33" x14ac:dyDescent="0.3">
      <c r="AG130" s="84"/>
    </row>
    <row r="131" spans="33:33" x14ac:dyDescent="0.3">
      <c r="AG131" s="84"/>
    </row>
    <row r="132" spans="33:33" x14ac:dyDescent="0.3">
      <c r="AG132" s="84"/>
    </row>
    <row r="133" spans="33:33" x14ac:dyDescent="0.3">
      <c r="AG133" s="84"/>
    </row>
    <row r="134" spans="33:33" x14ac:dyDescent="0.3">
      <c r="AG134" s="84"/>
    </row>
    <row r="135" spans="33:33" x14ac:dyDescent="0.3">
      <c r="AG135" s="84"/>
    </row>
    <row r="136" spans="33:33" x14ac:dyDescent="0.3">
      <c r="AG136" s="84"/>
    </row>
    <row r="137" spans="33:33" x14ac:dyDescent="0.3">
      <c r="AG137" s="84"/>
    </row>
    <row r="138" spans="33:33" x14ac:dyDescent="0.3">
      <c r="AG138" s="84"/>
    </row>
    <row r="139" spans="33:33" x14ac:dyDescent="0.3">
      <c r="AG139" s="84"/>
    </row>
    <row r="140" spans="33:33" x14ac:dyDescent="0.3">
      <c r="AG140" s="84"/>
    </row>
    <row r="141" spans="33:33" x14ac:dyDescent="0.3">
      <c r="AG141" s="84"/>
    </row>
    <row r="142" spans="33:33" x14ac:dyDescent="0.3">
      <c r="AG142" s="84"/>
    </row>
    <row r="143" spans="33:33" x14ac:dyDescent="0.3">
      <c r="AG143" s="84"/>
    </row>
    <row r="144" spans="33:33" x14ac:dyDescent="0.3">
      <c r="AG144" s="84"/>
    </row>
    <row r="145" spans="33:33" x14ac:dyDescent="0.3">
      <c r="AG145" s="84"/>
    </row>
    <row r="146" spans="33:33" x14ac:dyDescent="0.3">
      <c r="AG146" s="84"/>
    </row>
    <row r="147" spans="33:33" x14ac:dyDescent="0.3">
      <c r="AG147" s="84"/>
    </row>
    <row r="148" spans="33:33" x14ac:dyDescent="0.3">
      <c r="AG148" s="84"/>
    </row>
    <row r="149" spans="33:33" x14ac:dyDescent="0.3">
      <c r="AG149" s="84"/>
    </row>
    <row r="150" spans="33:33" x14ac:dyDescent="0.3">
      <c r="AG150" s="84"/>
    </row>
    <row r="151" spans="33:33" x14ac:dyDescent="0.3">
      <c r="AG151" s="84"/>
    </row>
    <row r="152" spans="33:33" x14ac:dyDescent="0.3">
      <c r="AG152" s="84"/>
    </row>
    <row r="153" spans="33:33" x14ac:dyDescent="0.3">
      <c r="AG153" s="84"/>
    </row>
    <row r="154" spans="33:33" x14ac:dyDescent="0.3">
      <c r="AG154" s="84"/>
    </row>
    <row r="155" spans="33:33" x14ac:dyDescent="0.3">
      <c r="AG155" s="84"/>
    </row>
    <row r="156" spans="33:33" x14ac:dyDescent="0.3">
      <c r="AG156" s="84"/>
    </row>
    <row r="157" spans="33:33" x14ac:dyDescent="0.3">
      <c r="AG157" s="84"/>
    </row>
    <row r="158" spans="33:33" x14ac:dyDescent="0.3">
      <c r="AG158" s="84"/>
    </row>
    <row r="159" spans="33:33" x14ac:dyDescent="0.3">
      <c r="AG159" s="84"/>
    </row>
    <row r="160" spans="33:33" x14ac:dyDescent="0.3">
      <c r="AG160" s="84"/>
    </row>
    <row r="161" spans="33:33" x14ac:dyDescent="0.3">
      <c r="AG161" s="84"/>
    </row>
    <row r="162" spans="33:33" x14ac:dyDescent="0.3">
      <c r="AG162" s="84"/>
    </row>
    <row r="163" spans="33:33" x14ac:dyDescent="0.3">
      <c r="AG163" s="84"/>
    </row>
    <row r="164" spans="33:33" x14ac:dyDescent="0.3">
      <c r="AG164" s="84"/>
    </row>
    <row r="165" spans="33:33" x14ac:dyDescent="0.3">
      <c r="AG165" s="84"/>
    </row>
    <row r="166" spans="33:33" x14ac:dyDescent="0.3">
      <c r="AG166" s="84"/>
    </row>
    <row r="167" spans="33:33" x14ac:dyDescent="0.3">
      <c r="AG167" s="84"/>
    </row>
    <row r="168" spans="33:33" x14ac:dyDescent="0.3">
      <c r="AG168" s="84"/>
    </row>
    <row r="169" spans="33:33" x14ac:dyDescent="0.3">
      <c r="AG169" s="84"/>
    </row>
    <row r="170" spans="33:33" x14ac:dyDescent="0.3">
      <c r="AG170" s="84"/>
    </row>
    <row r="171" spans="33:33" x14ac:dyDescent="0.3">
      <c r="AG171" s="84"/>
    </row>
    <row r="172" spans="33:33" x14ac:dyDescent="0.3">
      <c r="AG172" s="84"/>
    </row>
    <row r="173" spans="33:33" x14ac:dyDescent="0.3">
      <c r="AG173" s="84"/>
    </row>
    <row r="174" spans="33:33" x14ac:dyDescent="0.3">
      <c r="AG174" s="84"/>
    </row>
    <row r="175" spans="33:33" x14ac:dyDescent="0.3">
      <c r="AG175" s="84"/>
    </row>
    <row r="176" spans="33:33" x14ac:dyDescent="0.3">
      <c r="AG176" s="84"/>
    </row>
    <row r="177" spans="33:33" x14ac:dyDescent="0.3">
      <c r="AG177" s="84"/>
    </row>
    <row r="178" spans="33:33" x14ac:dyDescent="0.3">
      <c r="AG178" s="84"/>
    </row>
    <row r="179" spans="33:33" x14ac:dyDescent="0.3">
      <c r="AG179" s="84"/>
    </row>
    <row r="180" spans="33:33" x14ac:dyDescent="0.3">
      <c r="AG180" s="84"/>
    </row>
    <row r="181" spans="33:33" x14ac:dyDescent="0.3">
      <c r="AG181" s="84"/>
    </row>
    <row r="182" spans="33:33" x14ac:dyDescent="0.3">
      <c r="AG182" s="84"/>
    </row>
    <row r="183" spans="33:33" x14ac:dyDescent="0.3">
      <c r="AG183" s="84"/>
    </row>
    <row r="184" spans="33:33" x14ac:dyDescent="0.3">
      <c r="AG184" s="84"/>
    </row>
    <row r="185" spans="33:33" x14ac:dyDescent="0.3">
      <c r="AG185" s="84"/>
    </row>
    <row r="186" spans="33:33" x14ac:dyDescent="0.3">
      <c r="AG186" s="84"/>
    </row>
    <row r="187" spans="33:33" x14ac:dyDescent="0.3">
      <c r="AG187" s="84"/>
    </row>
    <row r="188" spans="33:33" x14ac:dyDescent="0.3">
      <c r="AG188" s="84"/>
    </row>
    <row r="189" spans="33:33" x14ac:dyDescent="0.3">
      <c r="AG189" s="84"/>
    </row>
    <row r="190" spans="33:33" x14ac:dyDescent="0.3">
      <c r="AG190" s="84"/>
    </row>
    <row r="191" spans="33:33" x14ac:dyDescent="0.3">
      <c r="AG191" s="84"/>
    </row>
    <row r="192" spans="33:33" x14ac:dyDescent="0.3">
      <c r="AG192" s="84"/>
    </row>
    <row r="193" spans="33:33" x14ac:dyDescent="0.3">
      <c r="AG193" s="84"/>
    </row>
    <row r="194" spans="33:33" x14ac:dyDescent="0.3">
      <c r="AG194" s="84"/>
    </row>
    <row r="195" spans="33:33" x14ac:dyDescent="0.3">
      <c r="AG195" s="84"/>
    </row>
    <row r="196" spans="33:33" x14ac:dyDescent="0.3">
      <c r="AG196" s="84"/>
    </row>
    <row r="197" spans="33:33" x14ac:dyDescent="0.3">
      <c r="AG197" s="84"/>
    </row>
    <row r="198" spans="33:33" x14ac:dyDescent="0.3">
      <c r="AG198" s="84"/>
    </row>
    <row r="199" spans="33:33" x14ac:dyDescent="0.3">
      <c r="AG199" s="84"/>
    </row>
    <row r="200" spans="33:33" x14ac:dyDescent="0.3">
      <c r="AG200" s="84"/>
    </row>
    <row r="201" spans="33:33" x14ac:dyDescent="0.3">
      <c r="AG201" s="84"/>
    </row>
    <row r="202" spans="33:33" x14ac:dyDescent="0.3">
      <c r="AG202" s="84"/>
    </row>
    <row r="203" spans="33:33" x14ac:dyDescent="0.3">
      <c r="AG203" s="84"/>
    </row>
    <row r="204" spans="33:33" x14ac:dyDescent="0.3">
      <c r="AG204" s="84"/>
    </row>
    <row r="205" spans="33:33" x14ac:dyDescent="0.3">
      <c r="AG205" s="84"/>
    </row>
    <row r="206" spans="33:33" x14ac:dyDescent="0.3">
      <c r="AG206" s="84"/>
    </row>
    <row r="207" spans="33:33" x14ac:dyDescent="0.3">
      <c r="AG207" s="84"/>
    </row>
    <row r="208" spans="33:33" x14ac:dyDescent="0.3">
      <c r="AG208" s="84"/>
    </row>
    <row r="209" spans="33:33" x14ac:dyDescent="0.3">
      <c r="AG209" s="84"/>
    </row>
    <row r="210" spans="33:33" x14ac:dyDescent="0.3">
      <c r="AG210" s="84"/>
    </row>
    <row r="211" spans="33:33" x14ac:dyDescent="0.3">
      <c r="AG211" s="84"/>
    </row>
    <row r="212" spans="33:33" x14ac:dyDescent="0.3">
      <c r="AG212" s="84"/>
    </row>
    <row r="213" spans="33:33" x14ac:dyDescent="0.3">
      <c r="AG213" s="84"/>
    </row>
    <row r="214" spans="33:33" x14ac:dyDescent="0.3">
      <c r="AG214" s="84"/>
    </row>
    <row r="215" spans="33:33" x14ac:dyDescent="0.3">
      <c r="AG215" s="84"/>
    </row>
    <row r="216" spans="33:33" x14ac:dyDescent="0.3">
      <c r="AG216" s="84"/>
    </row>
    <row r="217" spans="33:33" x14ac:dyDescent="0.3">
      <c r="AG217" s="84"/>
    </row>
    <row r="218" spans="33:33" x14ac:dyDescent="0.3">
      <c r="AG218" s="84"/>
    </row>
    <row r="219" spans="33:33" x14ac:dyDescent="0.3">
      <c r="AG219" s="84"/>
    </row>
    <row r="220" spans="33:33" x14ac:dyDescent="0.3">
      <c r="AG220" s="84"/>
    </row>
    <row r="221" spans="33:33" x14ac:dyDescent="0.3">
      <c r="AG221" s="84"/>
    </row>
    <row r="222" spans="33:33" x14ac:dyDescent="0.3">
      <c r="AG222" s="84"/>
    </row>
    <row r="223" spans="33:33" x14ac:dyDescent="0.3">
      <c r="AG223" s="84"/>
    </row>
    <row r="224" spans="33:33" x14ac:dyDescent="0.3">
      <c r="AG224" s="84"/>
    </row>
    <row r="225" spans="33:33" x14ac:dyDescent="0.3">
      <c r="AG225" s="84"/>
    </row>
    <row r="226" spans="33:33" x14ac:dyDescent="0.3">
      <c r="AG226" s="84"/>
    </row>
    <row r="227" spans="33:33" x14ac:dyDescent="0.3">
      <c r="AG227" s="84"/>
    </row>
    <row r="228" spans="33:33" x14ac:dyDescent="0.3">
      <c r="AG228" s="84"/>
    </row>
    <row r="229" spans="33:33" x14ac:dyDescent="0.3">
      <c r="AG229" s="84"/>
    </row>
    <row r="230" spans="33:33" x14ac:dyDescent="0.3">
      <c r="AG230" s="84"/>
    </row>
    <row r="231" spans="33:33" x14ac:dyDescent="0.3">
      <c r="AG231" s="84"/>
    </row>
    <row r="232" spans="33:33" x14ac:dyDescent="0.3">
      <c r="AG232" s="84"/>
    </row>
    <row r="233" spans="33:33" x14ac:dyDescent="0.3">
      <c r="AG233" s="84"/>
    </row>
    <row r="234" spans="33:33" x14ac:dyDescent="0.3">
      <c r="AG234" s="84"/>
    </row>
    <row r="235" spans="33:33" x14ac:dyDescent="0.3">
      <c r="AG235" s="84"/>
    </row>
    <row r="236" spans="33:33" x14ac:dyDescent="0.3">
      <c r="AG236" s="84"/>
    </row>
    <row r="237" spans="33:33" x14ac:dyDescent="0.3">
      <c r="AG237" s="84"/>
    </row>
    <row r="238" spans="33:33" x14ac:dyDescent="0.3">
      <c r="AG238" s="84"/>
    </row>
    <row r="239" spans="33:33" x14ac:dyDescent="0.3">
      <c r="AG239" s="84"/>
    </row>
    <row r="240" spans="33:33" x14ac:dyDescent="0.3">
      <c r="AG240" s="84"/>
    </row>
    <row r="241" spans="33:33" x14ac:dyDescent="0.3">
      <c r="AG241" s="84"/>
    </row>
    <row r="242" spans="33:33" x14ac:dyDescent="0.3">
      <c r="AG242" s="84"/>
    </row>
    <row r="243" spans="33:33" x14ac:dyDescent="0.3">
      <c r="AG243" s="84"/>
    </row>
    <row r="244" spans="33:33" x14ac:dyDescent="0.3">
      <c r="AG244" s="84"/>
    </row>
    <row r="245" spans="33:33" x14ac:dyDescent="0.3">
      <c r="AG245" s="84"/>
    </row>
    <row r="246" spans="33:33" x14ac:dyDescent="0.3">
      <c r="AG246" s="84"/>
    </row>
    <row r="247" spans="33:33" x14ac:dyDescent="0.3">
      <c r="AG247" s="84"/>
    </row>
    <row r="248" spans="33:33" x14ac:dyDescent="0.3">
      <c r="AG248" s="84"/>
    </row>
    <row r="249" spans="33:33" x14ac:dyDescent="0.3">
      <c r="AG249" s="84"/>
    </row>
    <row r="250" spans="33:33" x14ac:dyDescent="0.3">
      <c r="AG250" s="84"/>
    </row>
    <row r="251" spans="33:33" x14ac:dyDescent="0.3">
      <c r="AG251" s="84"/>
    </row>
    <row r="252" spans="33:33" x14ac:dyDescent="0.3">
      <c r="AG252" s="84"/>
    </row>
    <row r="253" spans="33:33" x14ac:dyDescent="0.3">
      <c r="AG253" s="84"/>
    </row>
    <row r="254" spans="33:33" x14ac:dyDescent="0.3">
      <c r="AG254" s="84"/>
    </row>
    <row r="255" spans="33:33" x14ac:dyDescent="0.3">
      <c r="AG255" s="84"/>
    </row>
    <row r="256" spans="33:33" x14ac:dyDescent="0.3">
      <c r="AG256" s="84"/>
    </row>
    <row r="257" spans="33:33" x14ac:dyDescent="0.3">
      <c r="AG257" s="84"/>
    </row>
    <row r="258" spans="33:33" x14ac:dyDescent="0.3">
      <c r="AG258" s="84"/>
    </row>
    <row r="259" spans="33:33" x14ac:dyDescent="0.3">
      <c r="AG259" s="84"/>
    </row>
    <row r="260" spans="33:33" x14ac:dyDescent="0.3">
      <c r="AG260" s="84"/>
    </row>
    <row r="261" spans="33:33" x14ac:dyDescent="0.3">
      <c r="AG261" s="84"/>
    </row>
    <row r="262" spans="33:33" x14ac:dyDescent="0.3">
      <c r="AG262" s="84"/>
    </row>
    <row r="263" spans="33:33" x14ac:dyDescent="0.3">
      <c r="AG263" s="84"/>
    </row>
    <row r="264" spans="33:33" x14ac:dyDescent="0.3">
      <c r="AG264" s="84"/>
    </row>
    <row r="265" spans="33:33" x14ac:dyDescent="0.3">
      <c r="AG265" s="84"/>
    </row>
    <row r="266" spans="33:33" x14ac:dyDescent="0.3">
      <c r="AG266" s="84"/>
    </row>
    <row r="267" spans="33:33" x14ac:dyDescent="0.3">
      <c r="AG267" s="84"/>
    </row>
    <row r="268" spans="33:33" x14ac:dyDescent="0.3">
      <c r="AG268" s="84"/>
    </row>
    <row r="269" spans="33:33" x14ac:dyDescent="0.3">
      <c r="AG269" s="84"/>
    </row>
    <row r="270" spans="33:33" x14ac:dyDescent="0.3">
      <c r="AG270" s="84"/>
    </row>
    <row r="271" spans="33:33" x14ac:dyDescent="0.3">
      <c r="AG271" s="84"/>
    </row>
    <row r="272" spans="33:33" x14ac:dyDescent="0.3">
      <c r="AG272" s="84"/>
    </row>
    <row r="273" spans="33:33" x14ac:dyDescent="0.3">
      <c r="AG273" s="84"/>
    </row>
    <row r="274" spans="33:33" x14ac:dyDescent="0.3">
      <c r="AG274" s="84"/>
    </row>
    <row r="275" spans="33:33" x14ac:dyDescent="0.3">
      <c r="AG275" s="84"/>
    </row>
    <row r="276" spans="33:33" x14ac:dyDescent="0.3">
      <c r="AG276" s="84"/>
    </row>
    <row r="277" spans="33:33" x14ac:dyDescent="0.3">
      <c r="AG277" s="84"/>
    </row>
    <row r="278" spans="33:33" x14ac:dyDescent="0.3">
      <c r="AG278" s="84"/>
    </row>
    <row r="279" spans="33:33" x14ac:dyDescent="0.3">
      <c r="AG279" s="84"/>
    </row>
    <row r="280" spans="33:33" x14ac:dyDescent="0.3">
      <c r="AG280" s="84"/>
    </row>
    <row r="281" spans="33:33" x14ac:dyDescent="0.3">
      <c r="AG281" s="84"/>
    </row>
    <row r="282" spans="33:33" x14ac:dyDescent="0.3">
      <c r="AG282" s="84"/>
    </row>
    <row r="283" spans="33:33" x14ac:dyDescent="0.3">
      <c r="AG283" s="84"/>
    </row>
    <row r="284" spans="33:33" x14ac:dyDescent="0.3">
      <c r="AG284" s="84"/>
    </row>
    <row r="285" spans="33:33" x14ac:dyDescent="0.3">
      <c r="AG285" s="84"/>
    </row>
    <row r="286" spans="33:33" x14ac:dyDescent="0.3">
      <c r="AG286" s="84"/>
    </row>
    <row r="287" spans="33:33" x14ac:dyDescent="0.3">
      <c r="AG287" s="84"/>
    </row>
    <row r="288" spans="33:33" x14ac:dyDescent="0.3">
      <c r="AG288" s="84"/>
    </row>
    <row r="289" spans="33:33" x14ac:dyDescent="0.3">
      <c r="AG289" s="84"/>
    </row>
    <row r="290" spans="33:33" x14ac:dyDescent="0.3">
      <c r="AG290" s="84"/>
    </row>
    <row r="291" spans="33:33" x14ac:dyDescent="0.3">
      <c r="AG291" s="84"/>
    </row>
    <row r="292" spans="33:33" x14ac:dyDescent="0.3">
      <c r="AG292" s="84"/>
    </row>
    <row r="293" spans="33:33" x14ac:dyDescent="0.3">
      <c r="AG293" s="84"/>
    </row>
    <row r="294" spans="33:33" x14ac:dyDescent="0.3">
      <c r="AG294" s="84"/>
    </row>
    <row r="295" spans="33:33" x14ac:dyDescent="0.3">
      <c r="AG295" s="84"/>
    </row>
    <row r="296" spans="33:33" x14ac:dyDescent="0.3">
      <c r="AG296" s="84"/>
    </row>
    <row r="297" spans="33:33" x14ac:dyDescent="0.3">
      <c r="AG297" s="84"/>
    </row>
    <row r="298" spans="33:33" x14ac:dyDescent="0.3">
      <c r="AG298" s="84"/>
    </row>
    <row r="299" spans="33:33" x14ac:dyDescent="0.3">
      <c r="AG299" s="84"/>
    </row>
    <row r="300" spans="33:33" x14ac:dyDescent="0.3">
      <c r="AG300" s="84"/>
    </row>
    <row r="301" spans="33:33" x14ac:dyDescent="0.3">
      <c r="AG301" s="84"/>
    </row>
    <row r="302" spans="33:33" x14ac:dyDescent="0.3">
      <c r="AG302" s="84"/>
    </row>
    <row r="303" spans="33:33" x14ac:dyDescent="0.3">
      <c r="AG303" s="84"/>
    </row>
    <row r="304" spans="33:33" x14ac:dyDescent="0.3">
      <c r="AG304" s="84"/>
    </row>
    <row r="305" spans="33:33" x14ac:dyDescent="0.3">
      <c r="AG305" s="84"/>
    </row>
    <row r="306" spans="33:33" x14ac:dyDescent="0.3">
      <c r="AG306" s="84"/>
    </row>
    <row r="307" spans="33:33" x14ac:dyDescent="0.3">
      <c r="AG307" s="84"/>
    </row>
    <row r="308" spans="33:33" x14ac:dyDescent="0.3">
      <c r="AG308" s="84"/>
    </row>
    <row r="309" spans="33:33" x14ac:dyDescent="0.3">
      <c r="AG309" s="84"/>
    </row>
    <row r="310" spans="33:33" x14ac:dyDescent="0.3">
      <c r="AG310" s="84"/>
    </row>
    <row r="311" spans="33:33" x14ac:dyDescent="0.3">
      <c r="AG311" s="84"/>
    </row>
    <row r="312" spans="33:33" x14ac:dyDescent="0.3">
      <c r="AG312" s="84"/>
    </row>
    <row r="313" spans="33:33" x14ac:dyDescent="0.3">
      <c r="AG313" s="84"/>
    </row>
    <row r="314" spans="33:33" x14ac:dyDescent="0.3">
      <c r="AG314" s="84"/>
    </row>
    <row r="315" spans="33:33" x14ac:dyDescent="0.3">
      <c r="AG315" s="84"/>
    </row>
    <row r="316" spans="33:33" x14ac:dyDescent="0.3">
      <c r="AG316" s="84"/>
    </row>
    <row r="317" spans="33:33" x14ac:dyDescent="0.3">
      <c r="AG317" s="84"/>
    </row>
    <row r="318" spans="33:33" x14ac:dyDescent="0.3">
      <c r="AG318" s="84"/>
    </row>
    <row r="319" spans="33:33" x14ac:dyDescent="0.3">
      <c r="AG319" s="84"/>
    </row>
    <row r="320" spans="33:33" x14ac:dyDescent="0.3">
      <c r="AG320" s="84"/>
    </row>
    <row r="321" spans="33:33" x14ac:dyDescent="0.3">
      <c r="AG321" s="84"/>
    </row>
    <row r="322" spans="33:33" x14ac:dyDescent="0.3">
      <c r="AG322" s="84"/>
    </row>
    <row r="323" spans="33:33" x14ac:dyDescent="0.3">
      <c r="AG323" s="84"/>
    </row>
    <row r="324" spans="33:33" x14ac:dyDescent="0.3">
      <c r="AG324" s="84"/>
    </row>
    <row r="325" spans="33:33" x14ac:dyDescent="0.3">
      <c r="AG325" s="84"/>
    </row>
    <row r="326" spans="33:33" x14ac:dyDescent="0.3">
      <c r="AG326" s="84"/>
    </row>
    <row r="327" spans="33:33" x14ac:dyDescent="0.3">
      <c r="AG327" s="84"/>
    </row>
    <row r="328" spans="33:33" x14ac:dyDescent="0.3">
      <c r="AG328" s="84"/>
    </row>
    <row r="329" spans="33:33" x14ac:dyDescent="0.3">
      <c r="AG329" s="84"/>
    </row>
    <row r="330" spans="33:33" x14ac:dyDescent="0.3">
      <c r="AG330" s="84"/>
    </row>
    <row r="331" spans="33:33" x14ac:dyDescent="0.3">
      <c r="AG331" s="84"/>
    </row>
    <row r="332" spans="33:33" x14ac:dyDescent="0.3">
      <c r="AG332" s="84"/>
    </row>
    <row r="333" spans="33:33" x14ac:dyDescent="0.3">
      <c r="AG333" s="84"/>
    </row>
    <row r="334" spans="33:33" x14ac:dyDescent="0.3">
      <c r="AG334" s="84"/>
    </row>
    <row r="335" spans="33:33" x14ac:dyDescent="0.3">
      <c r="AG335" s="84"/>
    </row>
    <row r="336" spans="33:33" x14ac:dyDescent="0.3">
      <c r="AG336" s="84"/>
    </row>
    <row r="337" spans="33:33" x14ac:dyDescent="0.3">
      <c r="AG337" s="84"/>
    </row>
    <row r="338" spans="33:33" x14ac:dyDescent="0.3">
      <c r="AG338" s="84"/>
    </row>
    <row r="339" spans="33:33" x14ac:dyDescent="0.3">
      <c r="AG339" s="84"/>
    </row>
    <row r="340" spans="33:33" x14ac:dyDescent="0.3">
      <c r="AG340" s="84"/>
    </row>
    <row r="341" spans="33:33" x14ac:dyDescent="0.3">
      <c r="AG341" s="84"/>
    </row>
    <row r="342" spans="33:33" x14ac:dyDescent="0.3">
      <c r="AG342" s="84"/>
    </row>
    <row r="343" spans="33:33" x14ac:dyDescent="0.3">
      <c r="AG343" s="84"/>
    </row>
    <row r="344" spans="33:33" x14ac:dyDescent="0.3">
      <c r="AG344" s="84"/>
    </row>
    <row r="345" spans="33:33" x14ac:dyDescent="0.3">
      <c r="AG345" s="84"/>
    </row>
    <row r="346" spans="33:33" x14ac:dyDescent="0.3">
      <c r="AG346" s="84"/>
    </row>
    <row r="347" spans="33:33" x14ac:dyDescent="0.3">
      <c r="AG347" s="84"/>
    </row>
    <row r="348" spans="33:33" x14ac:dyDescent="0.3">
      <c r="AG348" s="84"/>
    </row>
    <row r="349" spans="33:33" x14ac:dyDescent="0.3">
      <c r="AG349" s="84"/>
    </row>
    <row r="350" spans="33:33" x14ac:dyDescent="0.3">
      <c r="AG350" s="84"/>
    </row>
    <row r="351" spans="33:33" x14ac:dyDescent="0.3">
      <c r="AG351" s="84"/>
    </row>
    <row r="352" spans="33:33" x14ac:dyDescent="0.3">
      <c r="AG352" s="84"/>
    </row>
    <row r="353" spans="33:33" x14ac:dyDescent="0.3">
      <c r="AG353" s="84"/>
    </row>
    <row r="354" spans="33:33" x14ac:dyDescent="0.3">
      <c r="AG354" s="84"/>
    </row>
    <row r="355" spans="33:33" x14ac:dyDescent="0.3">
      <c r="AG355" s="84"/>
    </row>
    <row r="356" spans="33:33" x14ac:dyDescent="0.3">
      <c r="AG356" s="84"/>
    </row>
    <row r="357" spans="33:33" x14ac:dyDescent="0.3">
      <c r="AG357" s="84"/>
    </row>
    <row r="358" spans="33:33" x14ac:dyDescent="0.3">
      <c r="AG358" s="84"/>
    </row>
    <row r="359" spans="33:33" x14ac:dyDescent="0.3">
      <c r="AG359" s="84"/>
    </row>
    <row r="360" spans="33:33" x14ac:dyDescent="0.3">
      <c r="AG360" s="84"/>
    </row>
    <row r="361" spans="33:33" x14ac:dyDescent="0.3">
      <c r="AG361" s="84"/>
    </row>
    <row r="362" spans="33:33" x14ac:dyDescent="0.3">
      <c r="AG362" s="84"/>
    </row>
    <row r="363" spans="33:33" x14ac:dyDescent="0.3">
      <c r="AG363" s="84"/>
    </row>
    <row r="364" spans="33:33" x14ac:dyDescent="0.3">
      <c r="AG364" s="84"/>
    </row>
    <row r="365" spans="33:33" x14ac:dyDescent="0.3">
      <c r="AG365" s="84"/>
    </row>
    <row r="366" spans="33:33" x14ac:dyDescent="0.3">
      <c r="AG366" s="84"/>
    </row>
    <row r="367" spans="33:33" x14ac:dyDescent="0.3">
      <c r="AG367" s="84"/>
    </row>
    <row r="368" spans="33:33" x14ac:dyDescent="0.3">
      <c r="AG368" s="84"/>
    </row>
    <row r="369" spans="33:33" x14ac:dyDescent="0.3">
      <c r="AG369" s="84"/>
    </row>
    <row r="370" spans="33:33" x14ac:dyDescent="0.3">
      <c r="AG370" s="84"/>
    </row>
    <row r="371" spans="33:33" x14ac:dyDescent="0.3">
      <c r="AG371" s="84"/>
    </row>
    <row r="372" spans="33:33" x14ac:dyDescent="0.3">
      <c r="AG372" s="84"/>
    </row>
    <row r="373" spans="33:33" x14ac:dyDescent="0.3">
      <c r="AG373" s="84"/>
    </row>
    <row r="374" spans="33:33" x14ac:dyDescent="0.3">
      <c r="AG374" s="84"/>
    </row>
    <row r="375" spans="33:33" x14ac:dyDescent="0.3">
      <c r="AG375" s="84"/>
    </row>
    <row r="376" spans="33:33" x14ac:dyDescent="0.3">
      <c r="AG376" s="84"/>
    </row>
    <row r="377" spans="33:33" x14ac:dyDescent="0.3">
      <c r="AG377" s="84"/>
    </row>
    <row r="378" spans="33:33" x14ac:dyDescent="0.3">
      <c r="AG378" s="84"/>
    </row>
    <row r="379" spans="33:33" x14ac:dyDescent="0.3">
      <c r="AG379" s="84"/>
    </row>
    <row r="380" spans="33:33" x14ac:dyDescent="0.3">
      <c r="AG380" s="84"/>
    </row>
    <row r="381" spans="33:33" x14ac:dyDescent="0.3">
      <c r="AG381" s="84"/>
    </row>
    <row r="382" spans="33:33" x14ac:dyDescent="0.3">
      <c r="AG382" s="84"/>
    </row>
    <row r="383" spans="33:33" x14ac:dyDescent="0.3">
      <c r="AG383" s="84"/>
    </row>
    <row r="384" spans="33:33" x14ac:dyDescent="0.3">
      <c r="AG384" s="84"/>
    </row>
    <row r="385" spans="33:33" x14ac:dyDescent="0.3">
      <c r="AG385" s="84"/>
    </row>
    <row r="386" spans="33:33" x14ac:dyDescent="0.3">
      <c r="AG386" s="84"/>
    </row>
    <row r="387" spans="33:33" x14ac:dyDescent="0.3">
      <c r="AG387" s="84"/>
    </row>
    <row r="388" spans="33:33" x14ac:dyDescent="0.3">
      <c r="AG388" s="84"/>
    </row>
    <row r="389" spans="33:33" x14ac:dyDescent="0.3">
      <c r="AG389" s="84"/>
    </row>
    <row r="390" spans="33:33" x14ac:dyDescent="0.3">
      <c r="AG390" s="84"/>
    </row>
    <row r="391" spans="33:33" x14ac:dyDescent="0.3">
      <c r="AG391" s="84"/>
    </row>
    <row r="392" spans="33:33" x14ac:dyDescent="0.3">
      <c r="AG392" s="84"/>
    </row>
    <row r="393" spans="33:33" x14ac:dyDescent="0.3">
      <c r="AG393" s="84"/>
    </row>
    <row r="394" spans="33:33" x14ac:dyDescent="0.3">
      <c r="AG394" s="84"/>
    </row>
    <row r="395" spans="33:33" x14ac:dyDescent="0.3">
      <c r="AG395" s="84"/>
    </row>
    <row r="396" spans="33:33" x14ac:dyDescent="0.3">
      <c r="AG396" s="84"/>
    </row>
    <row r="397" spans="33:33" x14ac:dyDescent="0.3">
      <c r="AG397" s="84"/>
    </row>
    <row r="398" spans="33:33" x14ac:dyDescent="0.3">
      <c r="AG398" s="84"/>
    </row>
    <row r="399" spans="33:33" x14ac:dyDescent="0.3">
      <c r="AG399" s="84"/>
    </row>
    <row r="400" spans="33:33" x14ac:dyDescent="0.3">
      <c r="AG400" s="84"/>
    </row>
    <row r="401" spans="33:33" x14ac:dyDescent="0.3">
      <c r="AG401" s="84"/>
    </row>
    <row r="402" spans="33:33" x14ac:dyDescent="0.3">
      <c r="AG402" s="84"/>
    </row>
    <row r="403" spans="33:33" x14ac:dyDescent="0.3">
      <c r="AG403" s="84"/>
    </row>
    <row r="404" spans="33:33" x14ac:dyDescent="0.3">
      <c r="AG404" s="84"/>
    </row>
    <row r="405" spans="33:33" x14ac:dyDescent="0.3">
      <c r="AG405" s="84"/>
    </row>
    <row r="406" spans="33:33" x14ac:dyDescent="0.3">
      <c r="AG406" s="84"/>
    </row>
    <row r="407" spans="33:33" x14ac:dyDescent="0.3">
      <c r="AG407" s="84"/>
    </row>
    <row r="408" spans="33:33" x14ac:dyDescent="0.3">
      <c r="AG408" s="84"/>
    </row>
    <row r="409" spans="33:33" x14ac:dyDescent="0.3">
      <c r="AG409" s="84"/>
    </row>
    <row r="410" spans="33:33" x14ac:dyDescent="0.3">
      <c r="AG410" s="84"/>
    </row>
    <row r="411" spans="33:33" x14ac:dyDescent="0.3">
      <c r="AG411" s="84"/>
    </row>
    <row r="412" spans="33:33" x14ac:dyDescent="0.3">
      <c r="AG412" s="84"/>
    </row>
    <row r="413" spans="33:33" x14ac:dyDescent="0.3">
      <c r="AG413" s="84"/>
    </row>
    <row r="414" spans="33:33" x14ac:dyDescent="0.3">
      <c r="AG414" s="84"/>
    </row>
    <row r="415" spans="33:33" x14ac:dyDescent="0.3">
      <c r="AG415" s="84"/>
    </row>
    <row r="416" spans="33:33" x14ac:dyDescent="0.3">
      <c r="AG416" s="84"/>
    </row>
    <row r="417" spans="33:33" x14ac:dyDescent="0.3">
      <c r="AG417" s="84"/>
    </row>
    <row r="418" spans="33:33" x14ac:dyDescent="0.3">
      <c r="AG418" s="84"/>
    </row>
    <row r="419" spans="33:33" x14ac:dyDescent="0.3">
      <c r="AG419" s="84"/>
    </row>
    <row r="420" spans="33:33" x14ac:dyDescent="0.3">
      <c r="AG420" s="84"/>
    </row>
    <row r="421" spans="33:33" x14ac:dyDescent="0.3">
      <c r="AG421" s="84"/>
    </row>
    <row r="422" spans="33:33" x14ac:dyDescent="0.3">
      <c r="AG422" s="84"/>
    </row>
    <row r="423" spans="33:33" x14ac:dyDescent="0.3">
      <c r="AG423" s="84"/>
    </row>
    <row r="424" spans="33:33" x14ac:dyDescent="0.3">
      <c r="AG424" s="84"/>
    </row>
    <row r="425" spans="33:33" x14ac:dyDescent="0.3">
      <c r="AG425" s="84"/>
    </row>
    <row r="426" spans="33:33" x14ac:dyDescent="0.3">
      <c r="AG426" s="84"/>
    </row>
    <row r="427" spans="33:33" x14ac:dyDescent="0.3">
      <c r="AG427" s="84"/>
    </row>
    <row r="428" spans="33:33" x14ac:dyDescent="0.3">
      <c r="AG428" s="84"/>
    </row>
    <row r="429" spans="33:33" x14ac:dyDescent="0.3">
      <c r="AG429" s="84"/>
    </row>
    <row r="430" spans="33:33" x14ac:dyDescent="0.3">
      <c r="AG430" s="84"/>
    </row>
    <row r="431" spans="33:33" x14ac:dyDescent="0.3">
      <c r="AG431" s="84"/>
    </row>
    <row r="432" spans="33:33" x14ac:dyDescent="0.3">
      <c r="AG432" s="84"/>
    </row>
    <row r="433" spans="33:33" x14ac:dyDescent="0.3">
      <c r="AG433" s="84"/>
    </row>
    <row r="434" spans="33:33" x14ac:dyDescent="0.3">
      <c r="AG434" s="84"/>
    </row>
    <row r="435" spans="33:33" x14ac:dyDescent="0.3">
      <c r="AG435" s="84"/>
    </row>
    <row r="436" spans="33:33" x14ac:dyDescent="0.3">
      <c r="AG436" s="84"/>
    </row>
    <row r="437" spans="33:33" x14ac:dyDescent="0.3">
      <c r="AG437" s="84"/>
    </row>
    <row r="438" spans="33:33" x14ac:dyDescent="0.3">
      <c r="AG438" s="84"/>
    </row>
    <row r="439" spans="33:33" x14ac:dyDescent="0.3">
      <c r="AG439" s="84"/>
    </row>
    <row r="440" spans="33:33" x14ac:dyDescent="0.3">
      <c r="AG440" s="84"/>
    </row>
    <row r="441" spans="33:33" x14ac:dyDescent="0.3">
      <c r="AG441" s="84"/>
    </row>
    <row r="442" spans="33:33" x14ac:dyDescent="0.3">
      <c r="AG442" s="84"/>
    </row>
    <row r="443" spans="33:33" x14ac:dyDescent="0.3">
      <c r="AG443" s="84"/>
    </row>
    <row r="444" spans="33:33" x14ac:dyDescent="0.3">
      <c r="AG444" s="84"/>
    </row>
    <row r="445" spans="33:33" x14ac:dyDescent="0.3">
      <c r="AG445" s="84"/>
    </row>
    <row r="446" spans="33:33" x14ac:dyDescent="0.3">
      <c r="AG446" s="84"/>
    </row>
    <row r="447" spans="33:33" x14ac:dyDescent="0.3">
      <c r="AG447" s="84"/>
    </row>
    <row r="448" spans="33:33" x14ac:dyDescent="0.3">
      <c r="AG448" s="84"/>
    </row>
    <row r="449" spans="33:33" x14ac:dyDescent="0.3">
      <c r="AG449" s="84"/>
    </row>
    <row r="450" spans="33:33" x14ac:dyDescent="0.3">
      <c r="AG450" s="84"/>
    </row>
    <row r="451" spans="33:33" x14ac:dyDescent="0.3">
      <c r="AG451" s="84"/>
    </row>
    <row r="452" spans="33:33" x14ac:dyDescent="0.3">
      <c r="AG452" s="84"/>
    </row>
    <row r="453" spans="33:33" x14ac:dyDescent="0.3">
      <c r="AG453" s="84"/>
    </row>
    <row r="454" spans="33:33" x14ac:dyDescent="0.3">
      <c r="AG454" s="84"/>
    </row>
    <row r="455" spans="33:33" x14ac:dyDescent="0.3">
      <c r="AG455" s="84"/>
    </row>
    <row r="456" spans="33:33" x14ac:dyDescent="0.3">
      <c r="AG456" s="84"/>
    </row>
    <row r="457" spans="33:33" x14ac:dyDescent="0.3">
      <c r="AG457" s="84"/>
    </row>
    <row r="458" spans="33:33" x14ac:dyDescent="0.3">
      <c r="AG458" s="84"/>
    </row>
    <row r="459" spans="33:33" x14ac:dyDescent="0.3">
      <c r="AG459" s="84"/>
    </row>
    <row r="460" spans="33:33" x14ac:dyDescent="0.3">
      <c r="AG460" s="84"/>
    </row>
    <row r="461" spans="33:33" x14ac:dyDescent="0.3">
      <c r="AG461" s="84"/>
    </row>
    <row r="462" spans="33:33" x14ac:dyDescent="0.3">
      <c r="AG462" s="84"/>
    </row>
    <row r="463" spans="33:33" x14ac:dyDescent="0.3">
      <c r="AG463" s="84"/>
    </row>
    <row r="464" spans="33:33" x14ac:dyDescent="0.3">
      <c r="AG464" s="84"/>
    </row>
    <row r="465" spans="33:33" x14ac:dyDescent="0.3">
      <c r="AG465" s="84"/>
    </row>
    <row r="466" spans="33:33" x14ac:dyDescent="0.3">
      <c r="AG466" s="84"/>
    </row>
    <row r="467" spans="33:33" x14ac:dyDescent="0.3">
      <c r="AG467" s="84"/>
    </row>
    <row r="468" spans="33:33" x14ac:dyDescent="0.3">
      <c r="AG468" s="84"/>
    </row>
    <row r="469" spans="33:33" x14ac:dyDescent="0.3">
      <c r="AG469" s="84"/>
    </row>
    <row r="470" spans="33:33" x14ac:dyDescent="0.3">
      <c r="AG470" s="84"/>
    </row>
    <row r="471" spans="33:33" x14ac:dyDescent="0.3">
      <c r="AG471" s="84"/>
    </row>
    <row r="472" spans="33:33" x14ac:dyDescent="0.3">
      <c r="AG472" s="84"/>
    </row>
    <row r="473" spans="33:33" x14ac:dyDescent="0.3">
      <c r="AG473" s="84"/>
    </row>
    <row r="474" spans="33:33" x14ac:dyDescent="0.3">
      <c r="AG474" s="84"/>
    </row>
    <row r="475" spans="33:33" x14ac:dyDescent="0.3">
      <c r="AG475" s="84"/>
    </row>
    <row r="476" spans="33:33" x14ac:dyDescent="0.3">
      <c r="AG476" s="84"/>
    </row>
    <row r="477" spans="33:33" x14ac:dyDescent="0.3">
      <c r="AG477" s="84"/>
    </row>
    <row r="478" spans="33:33" x14ac:dyDescent="0.3">
      <c r="AG478" s="84"/>
    </row>
    <row r="479" spans="33:33" x14ac:dyDescent="0.3">
      <c r="AG479" s="84"/>
    </row>
    <row r="480" spans="33:33" x14ac:dyDescent="0.3">
      <c r="AG480" s="84"/>
    </row>
    <row r="481" spans="33:33" x14ac:dyDescent="0.3">
      <c r="AG481" s="84"/>
    </row>
    <row r="482" spans="33:33" x14ac:dyDescent="0.3">
      <c r="AG482" s="84"/>
    </row>
    <row r="483" spans="33:33" x14ac:dyDescent="0.3">
      <c r="AG483" s="84"/>
    </row>
    <row r="484" spans="33:33" x14ac:dyDescent="0.3">
      <c r="AG484" s="84"/>
    </row>
    <row r="485" spans="33:33" x14ac:dyDescent="0.3">
      <c r="AG485" s="84"/>
    </row>
    <row r="486" spans="33:33" x14ac:dyDescent="0.3">
      <c r="AG486" s="84"/>
    </row>
    <row r="487" spans="33:33" x14ac:dyDescent="0.3">
      <c r="AG487" s="84"/>
    </row>
    <row r="488" spans="33:33" x14ac:dyDescent="0.3">
      <c r="AG488" s="84"/>
    </row>
    <row r="489" spans="33:33" x14ac:dyDescent="0.3">
      <c r="AG489" s="84"/>
    </row>
    <row r="490" spans="33:33" x14ac:dyDescent="0.3">
      <c r="AG490" s="84"/>
    </row>
    <row r="491" spans="33:33" x14ac:dyDescent="0.3">
      <c r="AG491" s="84"/>
    </row>
    <row r="492" spans="33:33" x14ac:dyDescent="0.3">
      <c r="AG492" s="84"/>
    </row>
    <row r="493" spans="33:33" x14ac:dyDescent="0.3">
      <c r="AG493" s="84"/>
    </row>
    <row r="494" spans="33:33" x14ac:dyDescent="0.3">
      <c r="AG494" s="84"/>
    </row>
    <row r="495" spans="33:33" x14ac:dyDescent="0.3">
      <c r="AG495" s="84"/>
    </row>
    <row r="496" spans="33:33" x14ac:dyDescent="0.3">
      <c r="AG496" s="84"/>
    </row>
    <row r="497" spans="33:33" x14ac:dyDescent="0.3">
      <c r="AG497" s="84"/>
    </row>
    <row r="498" spans="33:33" x14ac:dyDescent="0.3">
      <c r="AG498" s="84"/>
    </row>
    <row r="499" spans="33:33" x14ac:dyDescent="0.3">
      <c r="AG499" s="84"/>
    </row>
    <row r="500" spans="33:33" x14ac:dyDescent="0.3">
      <c r="AG500" s="84"/>
    </row>
    <row r="501" spans="33:33" x14ac:dyDescent="0.3">
      <c r="AG501" s="84"/>
    </row>
    <row r="502" spans="33:33" x14ac:dyDescent="0.3">
      <c r="AG502" s="84"/>
    </row>
    <row r="503" spans="33:33" x14ac:dyDescent="0.3">
      <c r="AG503" s="84"/>
    </row>
    <row r="504" spans="33:33" x14ac:dyDescent="0.3">
      <c r="AG504" s="84"/>
    </row>
    <row r="505" spans="33:33" x14ac:dyDescent="0.3">
      <c r="AG505" s="84"/>
    </row>
    <row r="506" spans="33:33" x14ac:dyDescent="0.3">
      <c r="AG506" s="84"/>
    </row>
    <row r="507" spans="33:33" x14ac:dyDescent="0.3">
      <c r="AG507" s="84"/>
    </row>
    <row r="508" spans="33:33" x14ac:dyDescent="0.3">
      <c r="AG508" s="84"/>
    </row>
    <row r="509" spans="33:33" x14ac:dyDescent="0.3">
      <c r="AG509" s="84"/>
    </row>
    <row r="510" spans="33:33" x14ac:dyDescent="0.3">
      <c r="AG510" s="84"/>
    </row>
    <row r="511" spans="33:33" x14ac:dyDescent="0.3">
      <c r="AG511" s="84"/>
    </row>
    <row r="512" spans="33:33" x14ac:dyDescent="0.3">
      <c r="AG512" s="84"/>
    </row>
    <row r="513" spans="33:33" x14ac:dyDescent="0.3">
      <c r="AG513" s="84"/>
    </row>
    <row r="514" spans="33:33" x14ac:dyDescent="0.3">
      <c r="AG514" s="84"/>
    </row>
    <row r="515" spans="33:33" x14ac:dyDescent="0.3">
      <c r="AG515" s="84"/>
    </row>
    <row r="516" spans="33:33" x14ac:dyDescent="0.3">
      <c r="AG516" s="84"/>
    </row>
    <row r="517" spans="33:33" x14ac:dyDescent="0.3">
      <c r="AG517" s="84"/>
    </row>
    <row r="518" spans="33:33" x14ac:dyDescent="0.3">
      <c r="AG518" s="84"/>
    </row>
    <row r="519" spans="33:33" x14ac:dyDescent="0.3">
      <c r="AG519" s="84"/>
    </row>
    <row r="520" spans="33:33" x14ac:dyDescent="0.3">
      <c r="AG520" s="84"/>
    </row>
    <row r="521" spans="33:33" x14ac:dyDescent="0.3">
      <c r="AG521" s="84"/>
    </row>
    <row r="522" spans="33:33" x14ac:dyDescent="0.3">
      <c r="AG522" s="84"/>
    </row>
    <row r="523" spans="33:33" x14ac:dyDescent="0.3">
      <c r="AG523" s="84"/>
    </row>
    <row r="524" spans="33:33" x14ac:dyDescent="0.3">
      <c r="AG524" s="84"/>
    </row>
    <row r="525" spans="33:33" x14ac:dyDescent="0.3">
      <c r="AG525" s="84"/>
    </row>
    <row r="526" spans="33:33" x14ac:dyDescent="0.3">
      <c r="AG526" s="84"/>
    </row>
    <row r="527" spans="33:33" x14ac:dyDescent="0.3">
      <c r="AG527" s="84"/>
    </row>
    <row r="528" spans="33:33" x14ac:dyDescent="0.3">
      <c r="AG528" s="84"/>
    </row>
    <row r="529" spans="33:33" x14ac:dyDescent="0.3">
      <c r="AG529" s="84"/>
    </row>
    <row r="530" spans="33:33" x14ac:dyDescent="0.3">
      <c r="AG530" s="84"/>
    </row>
    <row r="531" spans="33:33" x14ac:dyDescent="0.3">
      <c r="AG531" s="84"/>
    </row>
    <row r="532" spans="33:33" x14ac:dyDescent="0.3">
      <c r="AG532" s="84"/>
    </row>
    <row r="533" spans="33:33" x14ac:dyDescent="0.3">
      <c r="AG533" s="84"/>
    </row>
    <row r="534" spans="33:33" x14ac:dyDescent="0.3">
      <c r="AG534" s="84"/>
    </row>
    <row r="535" spans="33:33" x14ac:dyDescent="0.3">
      <c r="AG535" s="84"/>
    </row>
    <row r="536" spans="33:33" x14ac:dyDescent="0.3">
      <c r="AG536" s="84"/>
    </row>
    <row r="537" spans="33:33" x14ac:dyDescent="0.3">
      <c r="AG537" s="84"/>
    </row>
    <row r="538" spans="33:33" x14ac:dyDescent="0.3">
      <c r="AG538" s="84"/>
    </row>
    <row r="539" spans="33:33" x14ac:dyDescent="0.3">
      <c r="AG539" s="84"/>
    </row>
    <row r="540" spans="33:33" x14ac:dyDescent="0.3">
      <c r="AG540" s="84"/>
    </row>
    <row r="541" spans="33:33" x14ac:dyDescent="0.3">
      <c r="AG541" s="84"/>
    </row>
    <row r="542" spans="33:33" x14ac:dyDescent="0.3">
      <c r="AG542" s="84"/>
    </row>
    <row r="543" spans="33:33" x14ac:dyDescent="0.3">
      <c r="AG543" s="84"/>
    </row>
    <row r="544" spans="33:33" x14ac:dyDescent="0.3">
      <c r="AG544" s="84"/>
    </row>
    <row r="545" spans="33:33" x14ac:dyDescent="0.3">
      <c r="AG545" s="84"/>
    </row>
    <row r="546" spans="33:33" x14ac:dyDescent="0.3">
      <c r="AG546" s="84"/>
    </row>
    <row r="547" spans="33:33" x14ac:dyDescent="0.3">
      <c r="AG547" s="84"/>
    </row>
    <row r="548" spans="33:33" x14ac:dyDescent="0.3">
      <c r="AG548" s="84"/>
    </row>
    <row r="549" spans="33:33" x14ac:dyDescent="0.3">
      <c r="AG549" s="84"/>
    </row>
    <row r="550" spans="33:33" x14ac:dyDescent="0.3">
      <c r="AG550" s="84"/>
    </row>
    <row r="551" spans="33:33" x14ac:dyDescent="0.3">
      <c r="AG551" s="84"/>
    </row>
    <row r="552" spans="33:33" x14ac:dyDescent="0.3">
      <c r="AG552" s="84"/>
    </row>
    <row r="553" spans="33:33" x14ac:dyDescent="0.3">
      <c r="AG553" s="84"/>
    </row>
    <row r="554" spans="33:33" x14ac:dyDescent="0.3">
      <c r="AG554" s="84"/>
    </row>
    <row r="555" spans="33:33" x14ac:dyDescent="0.3">
      <c r="AG555" s="84"/>
    </row>
    <row r="556" spans="33:33" x14ac:dyDescent="0.3">
      <c r="AG556" s="84"/>
    </row>
    <row r="557" spans="33:33" x14ac:dyDescent="0.3">
      <c r="AG557" s="84"/>
    </row>
    <row r="558" spans="33:33" x14ac:dyDescent="0.3">
      <c r="AG558" s="84"/>
    </row>
    <row r="559" spans="33:33" x14ac:dyDescent="0.3">
      <c r="AG559" s="84"/>
    </row>
    <row r="560" spans="33:33" x14ac:dyDescent="0.3">
      <c r="AG560" s="84"/>
    </row>
    <row r="561" spans="33:33" x14ac:dyDescent="0.3">
      <c r="AG561" s="84"/>
    </row>
    <row r="562" spans="33:33" x14ac:dyDescent="0.3">
      <c r="AG562" s="84"/>
    </row>
    <row r="563" spans="33:33" x14ac:dyDescent="0.3">
      <c r="AG563" s="84"/>
    </row>
    <row r="564" spans="33:33" x14ac:dyDescent="0.3">
      <c r="AG564" s="84"/>
    </row>
    <row r="565" spans="33:33" x14ac:dyDescent="0.3">
      <c r="AG565" s="84"/>
    </row>
    <row r="566" spans="33:33" x14ac:dyDescent="0.3">
      <c r="AG566" s="84"/>
    </row>
    <row r="567" spans="33:33" x14ac:dyDescent="0.3">
      <c r="AG567" s="84"/>
    </row>
    <row r="568" spans="33:33" x14ac:dyDescent="0.3">
      <c r="AG568" s="84"/>
    </row>
    <row r="569" spans="33:33" x14ac:dyDescent="0.3">
      <c r="AG569" s="84"/>
    </row>
    <row r="570" spans="33:33" x14ac:dyDescent="0.3">
      <c r="AG570" s="84"/>
    </row>
    <row r="571" spans="33:33" x14ac:dyDescent="0.3">
      <c r="AG571" s="84"/>
    </row>
    <row r="572" spans="33:33" x14ac:dyDescent="0.3">
      <c r="AG572" s="84"/>
    </row>
    <row r="573" spans="33:33" x14ac:dyDescent="0.3">
      <c r="AG573" s="84"/>
    </row>
    <row r="574" spans="33:33" x14ac:dyDescent="0.3">
      <c r="AG574" s="84"/>
    </row>
    <row r="575" spans="33:33" x14ac:dyDescent="0.3">
      <c r="AG575" s="84"/>
    </row>
    <row r="576" spans="33:33" x14ac:dyDescent="0.3">
      <c r="AG576" s="84"/>
    </row>
    <row r="577" spans="33:33" x14ac:dyDescent="0.3">
      <c r="AG577" s="84"/>
    </row>
    <row r="578" spans="33:33" x14ac:dyDescent="0.3">
      <c r="AG578" s="84"/>
    </row>
    <row r="579" spans="33:33" x14ac:dyDescent="0.3">
      <c r="AG579" s="84"/>
    </row>
    <row r="580" spans="33:33" x14ac:dyDescent="0.3">
      <c r="AG580" s="84"/>
    </row>
    <row r="581" spans="33:33" x14ac:dyDescent="0.3">
      <c r="AG581" s="84"/>
    </row>
    <row r="582" spans="33:33" x14ac:dyDescent="0.3">
      <c r="AG582" s="84"/>
    </row>
    <row r="583" spans="33:33" x14ac:dyDescent="0.3">
      <c r="AG583" s="84"/>
    </row>
    <row r="584" spans="33:33" x14ac:dyDescent="0.3">
      <c r="AG584" s="84"/>
    </row>
    <row r="585" spans="33:33" x14ac:dyDescent="0.3">
      <c r="AG585" s="84"/>
    </row>
    <row r="586" spans="33:33" x14ac:dyDescent="0.3">
      <c r="AG586" s="84"/>
    </row>
    <row r="587" spans="33:33" x14ac:dyDescent="0.3">
      <c r="AG587" s="84"/>
    </row>
    <row r="588" spans="33:33" x14ac:dyDescent="0.3">
      <c r="AG588" s="84"/>
    </row>
    <row r="589" spans="33:33" x14ac:dyDescent="0.3">
      <c r="AG589" s="84"/>
    </row>
    <row r="590" spans="33:33" x14ac:dyDescent="0.3">
      <c r="AG590" s="84"/>
    </row>
    <row r="591" spans="33:33" x14ac:dyDescent="0.3">
      <c r="AG591" s="84"/>
    </row>
    <row r="592" spans="33:33" x14ac:dyDescent="0.3">
      <c r="AG592" s="84"/>
    </row>
    <row r="593" spans="33:33" x14ac:dyDescent="0.3">
      <c r="AG593" s="84"/>
    </row>
    <row r="594" spans="33:33" x14ac:dyDescent="0.3">
      <c r="AG594" s="84"/>
    </row>
    <row r="595" spans="33:33" x14ac:dyDescent="0.3">
      <c r="AG595" s="84"/>
    </row>
    <row r="596" spans="33:33" x14ac:dyDescent="0.3">
      <c r="AG596" s="84"/>
    </row>
    <row r="597" spans="33:33" x14ac:dyDescent="0.3">
      <c r="AG597" s="84"/>
    </row>
    <row r="598" spans="33:33" x14ac:dyDescent="0.3">
      <c r="AG598" s="84"/>
    </row>
    <row r="599" spans="33:33" x14ac:dyDescent="0.3">
      <c r="AG599" s="84"/>
    </row>
    <row r="600" spans="33:33" x14ac:dyDescent="0.3">
      <c r="AG600" s="84"/>
    </row>
    <row r="601" spans="33:33" x14ac:dyDescent="0.3">
      <c r="AG601" s="84"/>
    </row>
    <row r="602" spans="33:33" x14ac:dyDescent="0.3">
      <c r="AG602" s="84"/>
    </row>
    <row r="603" spans="33:33" x14ac:dyDescent="0.3">
      <c r="AG603" s="84"/>
    </row>
    <row r="604" spans="33:33" x14ac:dyDescent="0.3">
      <c r="AG604" s="84"/>
    </row>
    <row r="605" spans="33:33" x14ac:dyDescent="0.3">
      <c r="AG605" s="84"/>
    </row>
    <row r="606" spans="33:33" x14ac:dyDescent="0.3">
      <c r="AG606" s="84"/>
    </row>
    <row r="607" spans="33:33" x14ac:dyDescent="0.3">
      <c r="AG607" s="84"/>
    </row>
    <row r="608" spans="33:33" x14ac:dyDescent="0.3">
      <c r="AG608" s="84"/>
    </row>
    <row r="609" spans="33:33" x14ac:dyDescent="0.3">
      <c r="AG609" s="84"/>
    </row>
    <row r="610" spans="33:33" x14ac:dyDescent="0.3">
      <c r="AG610" s="84"/>
    </row>
    <row r="611" spans="33:33" x14ac:dyDescent="0.3">
      <c r="AG611" s="84"/>
    </row>
    <row r="612" spans="33:33" x14ac:dyDescent="0.3">
      <c r="AG612" s="84"/>
    </row>
    <row r="613" spans="33:33" x14ac:dyDescent="0.3">
      <c r="AG613" s="84"/>
    </row>
    <row r="614" spans="33:33" x14ac:dyDescent="0.3">
      <c r="AG614" s="84"/>
    </row>
    <row r="615" spans="33:33" x14ac:dyDescent="0.3">
      <c r="AG615" s="84"/>
    </row>
    <row r="616" spans="33:33" x14ac:dyDescent="0.3">
      <c r="AG616" s="84"/>
    </row>
    <row r="617" spans="33:33" x14ac:dyDescent="0.3">
      <c r="AG617" s="84"/>
    </row>
    <row r="618" spans="33:33" x14ac:dyDescent="0.3">
      <c r="AG618" s="84"/>
    </row>
    <row r="619" spans="33:33" x14ac:dyDescent="0.3">
      <c r="AG619" s="84"/>
    </row>
    <row r="620" spans="33:33" x14ac:dyDescent="0.3">
      <c r="AG620" s="84"/>
    </row>
    <row r="621" spans="33:33" x14ac:dyDescent="0.3">
      <c r="AG621" s="84"/>
    </row>
    <row r="622" spans="33:33" x14ac:dyDescent="0.3">
      <c r="AG622" s="84"/>
    </row>
    <row r="623" spans="33:33" x14ac:dyDescent="0.3">
      <c r="AG623" s="84"/>
    </row>
    <row r="624" spans="33:33" x14ac:dyDescent="0.3">
      <c r="AG624" s="84"/>
    </row>
    <row r="625" spans="33:33" x14ac:dyDescent="0.3">
      <c r="AG625" s="84"/>
    </row>
    <row r="626" spans="33:33" x14ac:dyDescent="0.3">
      <c r="AG626" s="84"/>
    </row>
    <row r="627" spans="33:33" x14ac:dyDescent="0.3">
      <c r="AG627" s="84"/>
    </row>
    <row r="628" spans="33:33" x14ac:dyDescent="0.3">
      <c r="AG628" s="84"/>
    </row>
    <row r="629" spans="33:33" x14ac:dyDescent="0.3">
      <c r="AG629" s="84"/>
    </row>
    <row r="630" spans="33:33" x14ac:dyDescent="0.3">
      <c r="AG630" s="84"/>
    </row>
    <row r="631" spans="33:33" x14ac:dyDescent="0.3">
      <c r="AG631" s="84"/>
    </row>
    <row r="632" spans="33:33" x14ac:dyDescent="0.3">
      <c r="AG632" s="84"/>
    </row>
    <row r="633" spans="33:33" x14ac:dyDescent="0.3">
      <c r="AG633" s="84"/>
    </row>
    <row r="634" spans="33:33" x14ac:dyDescent="0.3">
      <c r="AG634" s="84"/>
    </row>
    <row r="635" spans="33:33" x14ac:dyDescent="0.3">
      <c r="AG635" s="84"/>
    </row>
    <row r="636" spans="33:33" x14ac:dyDescent="0.3">
      <c r="AG636" s="84"/>
    </row>
    <row r="637" spans="33:33" x14ac:dyDescent="0.3">
      <c r="AG637" s="84"/>
    </row>
    <row r="638" spans="33:33" x14ac:dyDescent="0.3">
      <c r="AG638" s="84"/>
    </row>
    <row r="639" spans="33:33" x14ac:dyDescent="0.3">
      <c r="AG639" s="84"/>
    </row>
    <row r="640" spans="33:33" x14ac:dyDescent="0.3">
      <c r="AG640" s="84"/>
    </row>
    <row r="641" spans="33:33" x14ac:dyDescent="0.3">
      <c r="AG641" s="84"/>
    </row>
    <row r="642" spans="33:33" x14ac:dyDescent="0.3">
      <c r="AG642" s="84"/>
    </row>
    <row r="643" spans="33:33" x14ac:dyDescent="0.3">
      <c r="AG643" s="84"/>
    </row>
    <row r="644" spans="33:33" x14ac:dyDescent="0.3">
      <c r="AG644" s="84"/>
    </row>
    <row r="645" spans="33:33" x14ac:dyDescent="0.3">
      <c r="AG645" s="84"/>
    </row>
    <row r="646" spans="33:33" x14ac:dyDescent="0.3">
      <c r="AG646" s="84"/>
    </row>
    <row r="647" spans="33:33" x14ac:dyDescent="0.3">
      <c r="AG647" s="84"/>
    </row>
    <row r="648" spans="33:33" x14ac:dyDescent="0.3">
      <c r="AG648" s="84"/>
    </row>
    <row r="649" spans="33:33" x14ac:dyDescent="0.3">
      <c r="AG649" s="84"/>
    </row>
    <row r="650" spans="33:33" x14ac:dyDescent="0.3">
      <c r="AG650" s="84"/>
    </row>
    <row r="651" spans="33:33" x14ac:dyDescent="0.3">
      <c r="AG651" s="84"/>
    </row>
    <row r="652" spans="33:33" x14ac:dyDescent="0.3">
      <c r="AG652" s="84"/>
    </row>
    <row r="653" spans="33:33" x14ac:dyDescent="0.3">
      <c r="AG653" s="84"/>
    </row>
    <row r="654" spans="33:33" x14ac:dyDescent="0.3">
      <c r="AG654" s="84"/>
    </row>
    <row r="655" spans="33:33" x14ac:dyDescent="0.3">
      <c r="AG655" s="84"/>
    </row>
    <row r="656" spans="33:33" x14ac:dyDescent="0.3">
      <c r="AG656" s="84"/>
    </row>
    <row r="657" spans="33:33" x14ac:dyDescent="0.3">
      <c r="AG657" s="84"/>
    </row>
    <row r="658" spans="33:33" x14ac:dyDescent="0.3">
      <c r="AG658" s="84"/>
    </row>
    <row r="659" spans="33:33" x14ac:dyDescent="0.3">
      <c r="AG659" s="84"/>
    </row>
    <row r="660" spans="33:33" x14ac:dyDescent="0.3">
      <c r="AG660" s="84"/>
    </row>
    <row r="661" spans="33:33" x14ac:dyDescent="0.3">
      <c r="AG661" s="84"/>
    </row>
    <row r="662" spans="33:33" x14ac:dyDescent="0.3">
      <c r="AG662" s="84"/>
    </row>
    <row r="663" spans="33:33" x14ac:dyDescent="0.3">
      <c r="AG663" s="84"/>
    </row>
    <row r="664" spans="33:33" x14ac:dyDescent="0.3">
      <c r="AG664" s="84"/>
    </row>
    <row r="665" spans="33:33" x14ac:dyDescent="0.3">
      <c r="AG665" s="84"/>
    </row>
    <row r="666" spans="33:33" x14ac:dyDescent="0.3">
      <c r="AG666" s="84"/>
    </row>
    <row r="667" spans="33:33" x14ac:dyDescent="0.3">
      <c r="AG667" s="84"/>
    </row>
    <row r="668" spans="33:33" x14ac:dyDescent="0.3">
      <c r="AG668" s="84"/>
    </row>
    <row r="669" spans="33:33" x14ac:dyDescent="0.3">
      <c r="AG669" s="84"/>
    </row>
    <row r="670" spans="33:33" x14ac:dyDescent="0.3">
      <c r="AG670" s="84"/>
    </row>
    <row r="671" spans="33:33" x14ac:dyDescent="0.3">
      <c r="AG671" s="84"/>
    </row>
    <row r="672" spans="33:33" x14ac:dyDescent="0.3">
      <c r="AG672" s="84"/>
    </row>
    <row r="673" spans="33:33" x14ac:dyDescent="0.3">
      <c r="AG673" s="84"/>
    </row>
    <row r="674" spans="33:33" x14ac:dyDescent="0.3">
      <c r="AG674" s="84"/>
    </row>
    <row r="675" spans="33:33" x14ac:dyDescent="0.3">
      <c r="AG675" s="84"/>
    </row>
    <row r="676" spans="33:33" x14ac:dyDescent="0.3">
      <c r="AG676" s="84"/>
    </row>
    <row r="677" spans="33:33" x14ac:dyDescent="0.3">
      <c r="AG677" s="84"/>
    </row>
    <row r="678" spans="33:33" x14ac:dyDescent="0.3">
      <c r="AG678" s="84"/>
    </row>
    <row r="679" spans="33:33" x14ac:dyDescent="0.3">
      <c r="AG679" s="84"/>
    </row>
    <row r="680" spans="33:33" x14ac:dyDescent="0.3">
      <c r="AG680" s="84"/>
    </row>
    <row r="681" spans="33:33" x14ac:dyDescent="0.3">
      <c r="AG681" s="84"/>
    </row>
    <row r="682" spans="33:33" x14ac:dyDescent="0.3">
      <c r="AG682" s="84"/>
    </row>
    <row r="683" spans="33:33" x14ac:dyDescent="0.3">
      <c r="AG683" s="84"/>
    </row>
    <row r="684" spans="33:33" x14ac:dyDescent="0.3">
      <c r="AG684" s="84"/>
    </row>
    <row r="685" spans="33:33" x14ac:dyDescent="0.3">
      <c r="AG685" s="84"/>
    </row>
    <row r="686" spans="33:33" x14ac:dyDescent="0.3">
      <c r="AG686" s="84"/>
    </row>
    <row r="687" spans="33:33" x14ac:dyDescent="0.3">
      <c r="AG687" s="84"/>
    </row>
    <row r="688" spans="33:33" x14ac:dyDescent="0.3">
      <c r="AG688" s="84"/>
    </row>
    <row r="689" spans="33:33" x14ac:dyDescent="0.3">
      <c r="AG689" s="84"/>
    </row>
    <row r="690" spans="33:33" x14ac:dyDescent="0.3">
      <c r="AG690" s="84"/>
    </row>
    <row r="691" spans="33:33" x14ac:dyDescent="0.3">
      <c r="AG691" s="84"/>
    </row>
    <row r="692" spans="33:33" x14ac:dyDescent="0.3">
      <c r="AG692" s="84"/>
    </row>
    <row r="693" spans="33:33" x14ac:dyDescent="0.3">
      <c r="AG693" s="84"/>
    </row>
    <row r="694" spans="33:33" x14ac:dyDescent="0.3">
      <c r="AG694" s="84"/>
    </row>
    <row r="695" spans="33:33" x14ac:dyDescent="0.3">
      <c r="AG695" s="84"/>
    </row>
    <row r="696" spans="33:33" x14ac:dyDescent="0.3">
      <c r="AG696" s="84"/>
    </row>
    <row r="697" spans="33:33" x14ac:dyDescent="0.3">
      <c r="AG697" s="84"/>
    </row>
    <row r="698" spans="33:33" x14ac:dyDescent="0.3">
      <c r="AG698" s="84"/>
    </row>
    <row r="699" spans="33:33" x14ac:dyDescent="0.3">
      <c r="AG699" s="84"/>
    </row>
    <row r="700" spans="33:33" x14ac:dyDescent="0.3">
      <c r="AG700" s="84"/>
    </row>
    <row r="701" spans="33:33" x14ac:dyDescent="0.3">
      <c r="AG701" s="84"/>
    </row>
    <row r="702" spans="33:33" x14ac:dyDescent="0.3">
      <c r="AG702" s="84"/>
    </row>
    <row r="703" spans="33:33" x14ac:dyDescent="0.3">
      <c r="AG703" s="84"/>
    </row>
    <row r="704" spans="33:33" x14ac:dyDescent="0.3">
      <c r="AG704" s="84"/>
    </row>
    <row r="705" spans="33:33" x14ac:dyDescent="0.3">
      <c r="AG705" s="84"/>
    </row>
    <row r="706" spans="33:33" x14ac:dyDescent="0.3">
      <c r="AG706" s="84"/>
    </row>
    <row r="707" spans="33:33" x14ac:dyDescent="0.3">
      <c r="AG707" s="84"/>
    </row>
    <row r="708" spans="33:33" x14ac:dyDescent="0.3">
      <c r="AG708" s="84"/>
    </row>
    <row r="709" spans="33:33" x14ac:dyDescent="0.3">
      <c r="AG709" s="84"/>
    </row>
    <row r="710" spans="33:33" x14ac:dyDescent="0.3">
      <c r="AG710" s="84"/>
    </row>
    <row r="711" spans="33:33" x14ac:dyDescent="0.3">
      <c r="AG711" s="84"/>
    </row>
    <row r="712" spans="33:33" x14ac:dyDescent="0.3">
      <c r="AG712" s="84"/>
    </row>
    <row r="713" spans="33:33" x14ac:dyDescent="0.3">
      <c r="AG713" s="84"/>
    </row>
    <row r="714" spans="33:33" x14ac:dyDescent="0.3">
      <c r="AG714" s="84"/>
    </row>
    <row r="715" spans="33:33" x14ac:dyDescent="0.3">
      <c r="AG715" s="84"/>
    </row>
    <row r="716" spans="33:33" x14ac:dyDescent="0.3">
      <c r="AG716" s="84"/>
    </row>
    <row r="717" spans="33:33" x14ac:dyDescent="0.3">
      <c r="AG717" s="84"/>
    </row>
    <row r="718" spans="33:33" x14ac:dyDescent="0.3">
      <c r="AG718" s="84"/>
    </row>
    <row r="719" spans="33:33" x14ac:dyDescent="0.3">
      <c r="AG719" s="84"/>
    </row>
    <row r="720" spans="33:33" x14ac:dyDescent="0.3">
      <c r="AG720" s="84"/>
    </row>
    <row r="721" spans="33:33" x14ac:dyDescent="0.3">
      <c r="AG721" s="84"/>
    </row>
    <row r="722" spans="33:33" x14ac:dyDescent="0.3">
      <c r="AG722" s="84"/>
    </row>
    <row r="723" spans="33:33" x14ac:dyDescent="0.3">
      <c r="AG723" s="84"/>
    </row>
    <row r="724" spans="33:33" x14ac:dyDescent="0.3">
      <c r="AG724" s="84"/>
    </row>
    <row r="725" spans="33:33" x14ac:dyDescent="0.3">
      <c r="AG725" s="84"/>
    </row>
    <row r="726" spans="33:33" x14ac:dyDescent="0.3">
      <c r="AG726" s="84"/>
    </row>
    <row r="727" spans="33:33" x14ac:dyDescent="0.3">
      <c r="AG727" s="84"/>
    </row>
    <row r="728" spans="33:33" x14ac:dyDescent="0.3">
      <c r="AG728" s="84"/>
    </row>
    <row r="729" spans="33:33" x14ac:dyDescent="0.3">
      <c r="AG729" s="84"/>
    </row>
    <row r="730" spans="33:33" x14ac:dyDescent="0.3">
      <c r="AG730" s="84"/>
    </row>
    <row r="731" spans="33:33" x14ac:dyDescent="0.3">
      <c r="AG731" s="84"/>
    </row>
    <row r="732" spans="33:33" x14ac:dyDescent="0.3">
      <c r="AG732" s="84"/>
    </row>
    <row r="733" spans="33:33" x14ac:dyDescent="0.3">
      <c r="AG733" s="84"/>
    </row>
    <row r="734" spans="33:33" x14ac:dyDescent="0.3">
      <c r="AG734" s="84"/>
    </row>
    <row r="735" spans="33:33" x14ac:dyDescent="0.3">
      <c r="AG735" s="84"/>
    </row>
    <row r="736" spans="33:33" x14ac:dyDescent="0.3">
      <c r="AG736" s="84"/>
    </row>
    <row r="737" spans="33:33" x14ac:dyDescent="0.3">
      <c r="AG737" s="84"/>
    </row>
    <row r="738" spans="33:33" x14ac:dyDescent="0.3">
      <c r="AG738" s="84"/>
    </row>
    <row r="739" spans="33:33" x14ac:dyDescent="0.3">
      <c r="AG739" s="84"/>
    </row>
    <row r="740" spans="33:33" x14ac:dyDescent="0.3">
      <c r="AG740" s="84"/>
    </row>
    <row r="741" spans="33:33" x14ac:dyDescent="0.3">
      <c r="AG741" s="84"/>
    </row>
    <row r="742" spans="33:33" x14ac:dyDescent="0.3">
      <c r="AG742" s="84"/>
    </row>
    <row r="743" spans="33:33" x14ac:dyDescent="0.3">
      <c r="AG743" s="84"/>
    </row>
    <row r="744" spans="33:33" x14ac:dyDescent="0.3">
      <c r="AG744" s="84"/>
    </row>
    <row r="745" spans="33:33" x14ac:dyDescent="0.3">
      <c r="AG745" s="84"/>
    </row>
    <row r="746" spans="33:33" x14ac:dyDescent="0.3">
      <c r="AG746" s="84"/>
    </row>
    <row r="747" spans="33:33" x14ac:dyDescent="0.3">
      <c r="AG747" s="84"/>
    </row>
    <row r="748" spans="33:33" x14ac:dyDescent="0.3">
      <c r="AG748" s="84"/>
    </row>
    <row r="749" spans="33:33" x14ac:dyDescent="0.3">
      <c r="AG749" s="84"/>
    </row>
    <row r="750" spans="33:33" x14ac:dyDescent="0.3">
      <c r="AG750" s="84"/>
    </row>
    <row r="751" spans="33:33" x14ac:dyDescent="0.3">
      <c r="AG751" s="84"/>
    </row>
    <row r="752" spans="33:33" x14ac:dyDescent="0.3">
      <c r="AG752" s="84"/>
    </row>
    <row r="753" spans="33:33" x14ac:dyDescent="0.3">
      <c r="AG753" s="84"/>
    </row>
    <row r="754" spans="33:33" x14ac:dyDescent="0.3">
      <c r="AG754" s="84"/>
    </row>
    <row r="755" spans="33:33" x14ac:dyDescent="0.3">
      <c r="AG755" s="84"/>
    </row>
    <row r="756" spans="33:33" x14ac:dyDescent="0.3">
      <c r="AG756" s="84"/>
    </row>
    <row r="757" spans="33:33" x14ac:dyDescent="0.3">
      <c r="AG757" s="84"/>
    </row>
    <row r="758" spans="33:33" x14ac:dyDescent="0.3">
      <c r="AG758" s="84"/>
    </row>
    <row r="759" spans="33:33" x14ac:dyDescent="0.3">
      <c r="AG759" s="84"/>
    </row>
    <row r="760" spans="33:33" x14ac:dyDescent="0.3">
      <c r="AG760" s="84"/>
    </row>
    <row r="761" spans="33:33" x14ac:dyDescent="0.3">
      <c r="AG761" s="84"/>
    </row>
    <row r="762" spans="33:33" x14ac:dyDescent="0.3">
      <c r="AG762" s="84"/>
    </row>
    <row r="763" spans="33:33" x14ac:dyDescent="0.3">
      <c r="AG763" s="84"/>
    </row>
    <row r="764" spans="33:33" x14ac:dyDescent="0.3">
      <c r="AG764" s="84"/>
    </row>
    <row r="765" spans="33:33" x14ac:dyDescent="0.3">
      <c r="AG765" s="84"/>
    </row>
    <row r="766" spans="33:33" x14ac:dyDescent="0.3">
      <c r="AG766" s="84"/>
    </row>
    <row r="767" spans="33:33" x14ac:dyDescent="0.3">
      <c r="AG767" s="84"/>
    </row>
    <row r="768" spans="33:33" x14ac:dyDescent="0.3">
      <c r="AG768" s="84"/>
    </row>
    <row r="769" spans="33:33" x14ac:dyDescent="0.3">
      <c r="AG769" s="84"/>
    </row>
    <row r="770" spans="33:33" x14ac:dyDescent="0.3">
      <c r="AG770" s="84"/>
    </row>
    <row r="771" spans="33:33" x14ac:dyDescent="0.3">
      <c r="AG771" s="84"/>
    </row>
    <row r="772" spans="33:33" x14ac:dyDescent="0.3">
      <c r="AG772" s="84"/>
    </row>
    <row r="773" spans="33:33" x14ac:dyDescent="0.3">
      <c r="AG773" s="84"/>
    </row>
    <row r="774" spans="33:33" x14ac:dyDescent="0.3">
      <c r="AG774" s="84"/>
    </row>
    <row r="775" spans="33:33" x14ac:dyDescent="0.3">
      <c r="AG775" s="84"/>
    </row>
    <row r="776" spans="33:33" x14ac:dyDescent="0.3">
      <c r="AG776" s="84"/>
    </row>
    <row r="777" spans="33:33" x14ac:dyDescent="0.3">
      <c r="AG777" s="84"/>
    </row>
    <row r="778" spans="33:33" x14ac:dyDescent="0.3">
      <c r="AG778" s="84"/>
    </row>
    <row r="779" spans="33:33" x14ac:dyDescent="0.3">
      <c r="AG779" s="84"/>
    </row>
    <row r="780" spans="33:33" x14ac:dyDescent="0.3">
      <c r="AG780" s="84"/>
    </row>
    <row r="781" spans="33:33" x14ac:dyDescent="0.3">
      <c r="AG781" s="84"/>
    </row>
    <row r="782" spans="33:33" x14ac:dyDescent="0.3">
      <c r="AG782" s="84"/>
    </row>
    <row r="783" spans="33:33" x14ac:dyDescent="0.3">
      <c r="AG783" s="84"/>
    </row>
    <row r="784" spans="33:33" x14ac:dyDescent="0.3">
      <c r="AG784" s="84"/>
    </row>
    <row r="785" spans="33:33" x14ac:dyDescent="0.3">
      <c r="AG785" s="84"/>
    </row>
    <row r="786" spans="33:33" x14ac:dyDescent="0.3">
      <c r="AG786" s="84"/>
    </row>
    <row r="787" spans="33:33" x14ac:dyDescent="0.3">
      <c r="AG787" s="84"/>
    </row>
    <row r="788" spans="33:33" x14ac:dyDescent="0.3">
      <c r="AG788" s="84"/>
    </row>
    <row r="789" spans="33:33" x14ac:dyDescent="0.3">
      <c r="AG789" s="84"/>
    </row>
    <row r="790" spans="33:33" x14ac:dyDescent="0.3">
      <c r="AG790" s="84"/>
    </row>
    <row r="791" spans="33:33" x14ac:dyDescent="0.3">
      <c r="AG791" s="84"/>
    </row>
    <row r="792" spans="33:33" x14ac:dyDescent="0.3">
      <c r="AG792" s="84"/>
    </row>
    <row r="793" spans="33:33" x14ac:dyDescent="0.3">
      <c r="AG793" s="84"/>
    </row>
    <row r="794" spans="33:33" x14ac:dyDescent="0.3">
      <c r="AG794" s="84"/>
    </row>
    <row r="795" spans="33:33" x14ac:dyDescent="0.3">
      <c r="AG795" s="84"/>
    </row>
    <row r="796" spans="33:33" x14ac:dyDescent="0.3">
      <c r="AG796" s="84"/>
    </row>
    <row r="797" spans="33:33" x14ac:dyDescent="0.3">
      <c r="AG797" s="84"/>
    </row>
    <row r="798" spans="33:33" x14ac:dyDescent="0.3">
      <c r="AG798" s="84"/>
    </row>
    <row r="799" spans="33:33" x14ac:dyDescent="0.3">
      <c r="AG799" s="84"/>
    </row>
    <row r="800" spans="33:33" x14ac:dyDescent="0.3">
      <c r="AG800" s="84"/>
    </row>
    <row r="801" spans="33:33" x14ac:dyDescent="0.3">
      <c r="AG801" s="84"/>
    </row>
    <row r="802" spans="33:33" x14ac:dyDescent="0.3">
      <c r="AG802" s="84"/>
    </row>
    <row r="803" spans="33:33" x14ac:dyDescent="0.3">
      <c r="AG803" s="84"/>
    </row>
    <row r="804" spans="33:33" x14ac:dyDescent="0.3">
      <c r="AG804" s="84"/>
    </row>
    <row r="805" spans="33:33" x14ac:dyDescent="0.3">
      <c r="AG805" s="84"/>
    </row>
    <row r="806" spans="33:33" x14ac:dyDescent="0.3">
      <c r="AG806" s="84"/>
    </row>
    <row r="807" spans="33:33" x14ac:dyDescent="0.3">
      <c r="AG807" s="84"/>
    </row>
    <row r="808" spans="33:33" x14ac:dyDescent="0.3">
      <c r="AG808" s="84"/>
    </row>
    <row r="809" spans="33:33" x14ac:dyDescent="0.3">
      <c r="AG809" s="84"/>
    </row>
    <row r="810" spans="33:33" x14ac:dyDescent="0.3">
      <c r="AG810" s="84"/>
    </row>
    <row r="811" spans="33:33" x14ac:dyDescent="0.3">
      <c r="AG811" s="84"/>
    </row>
    <row r="812" spans="33:33" x14ac:dyDescent="0.3">
      <c r="AG812" s="84"/>
    </row>
    <row r="813" spans="33:33" x14ac:dyDescent="0.3">
      <c r="AG813" s="84"/>
    </row>
    <row r="814" spans="33:33" x14ac:dyDescent="0.3">
      <c r="AG814" s="84"/>
    </row>
    <row r="815" spans="33:33" x14ac:dyDescent="0.3">
      <c r="AG815" s="84"/>
    </row>
    <row r="816" spans="33:33" x14ac:dyDescent="0.3">
      <c r="AG816" s="84"/>
    </row>
    <row r="817" spans="33:33" x14ac:dyDescent="0.3">
      <c r="AG817" s="84"/>
    </row>
    <row r="818" spans="33:33" x14ac:dyDescent="0.3">
      <c r="AG818" s="84"/>
    </row>
    <row r="819" spans="33:33" x14ac:dyDescent="0.3">
      <c r="AG819" s="84"/>
    </row>
    <row r="820" spans="33:33" x14ac:dyDescent="0.3">
      <c r="AG820" s="84"/>
    </row>
    <row r="821" spans="33:33" x14ac:dyDescent="0.3">
      <c r="AG821" s="84"/>
    </row>
    <row r="822" spans="33:33" x14ac:dyDescent="0.3">
      <c r="AG822" s="84"/>
    </row>
    <row r="823" spans="33:33" x14ac:dyDescent="0.3">
      <c r="AG823" s="84"/>
    </row>
    <row r="824" spans="33:33" x14ac:dyDescent="0.3">
      <c r="AG824" s="84"/>
    </row>
    <row r="825" spans="33:33" x14ac:dyDescent="0.3">
      <c r="AG825" s="84"/>
    </row>
    <row r="826" spans="33:33" x14ac:dyDescent="0.3">
      <c r="AG826" s="84"/>
    </row>
    <row r="827" spans="33:33" x14ac:dyDescent="0.3">
      <c r="AG827" s="84"/>
    </row>
    <row r="828" spans="33:33" x14ac:dyDescent="0.3">
      <c r="AG828" s="84"/>
    </row>
    <row r="829" spans="33:33" x14ac:dyDescent="0.3">
      <c r="AG829" s="84"/>
    </row>
    <row r="830" spans="33:33" x14ac:dyDescent="0.3">
      <c r="AG830" s="84"/>
    </row>
    <row r="831" spans="33:33" x14ac:dyDescent="0.3">
      <c r="AG831" s="84"/>
    </row>
    <row r="832" spans="33:33" x14ac:dyDescent="0.3">
      <c r="AG832" s="84"/>
    </row>
    <row r="833" spans="33:33" x14ac:dyDescent="0.3">
      <c r="AG833" s="84"/>
    </row>
    <row r="834" spans="33:33" x14ac:dyDescent="0.3">
      <c r="AG834" s="84"/>
    </row>
    <row r="835" spans="33:33" x14ac:dyDescent="0.3">
      <c r="AG835" s="84"/>
    </row>
    <row r="836" spans="33:33" x14ac:dyDescent="0.3">
      <c r="AG836" s="84"/>
    </row>
    <row r="837" spans="33:33" x14ac:dyDescent="0.3">
      <c r="AG837" s="84"/>
    </row>
    <row r="838" spans="33:33" x14ac:dyDescent="0.3">
      <c r="AG838" s="84"/>
    </row>
    <row r="839" spans="33:33" x14ac:dyDescent="0.3">
      <c r="AG839" s="84"/>
    </row>
    <row r="840" spans="33:33" x14ac:dyDescent="0.3">
      <c r="AG840" s="84"/>
    </row>
    <row r="841" spans="33:33" x14ac:dyDescent="0.3">
      <c r="AG841" s="84"/>
    </row>
    <row r="842" spans="33:33" x14ac:dyDescent="0.3">
      <c r="AG842" s="84"/>
    </row>
    <row r="843" spans="33:33" x14ac:dyDescent="0.3">
      <c r="AG843" s="84"/>
    </row>
    <row r="844" spans="33:33" x14ac:dyDescent="0.3">
      <c r="AG844" s="84"/>
    </row>
    <row r="845" spans="33:33" x14ac:dyDescent="0.3">
      <c r="AG845" s="84"/>
    </row>
    <row r="846" spans="33:33" x14ac:dyDescent="0.3">
      <c r="AG846" s="84"/>
    </row>
    <row r="847" spans="33:33" x14ac:dyDescent="0.3">
      <c r="AG847" s="84"/>
    </row>
    <row r="848" spans="33:33" x14ac:dyDescent="0.3">
      <c r="AG848" s="84"/>
    </row>
    <row r="849" spans="33:33" x14ac:dyDescent="0.3">
      <c r="AG849" s="84"/>
    </row>
    <row r="850" spans="33:33" x14ac:dyDescent="0.3">
      <c r="AG850" s="84"/>
    </row>
    <row r="851" spans="33:33" x14ac:dyDescent="0.3">
      <c r="AG851" s="84"/>
    </row>
    <row r="852" spans="33:33" x14ac:dyDescent="0.3">
      <c r="AG852" s="84"/>
    </row>
    <row r="853" spans="33:33" x14ac:dyDescent="0.3">
      <c r="AG853" s="84"/>
    </row>
    <row r="854" spans="33:33" x14ac:dyDescent="0.3">
      <c r="AG854" s="84"/>
    </row>
    <row r="855" spans="33:33" x14ac:dyDescent="0.3">
      <c r="AG855" s="84"/>
    </row>
    <row r="856" spans="33:33" x14ac:dyDescent="0.3">
      <c r="AG856" s="84"/>
    </row>
    <row r="857" spans="33:33" x14ac:dyDescent="0.3">
      <c r="AG857" s="84"/>
    </row>
    <row r="858" spans="33:33" x14ac:dyDescent="0.3">
      <c r="AG858" s="84"/>
    </row>
    <row r="859" spans="33:33" x14ac:dyDescent="0.3">
      <c r="AG859" s="84"/>
    </row>
    <row r="860" spans="33:33" x14ac:dyDescent="0.3">
      <c r="AG860" s="84"/>
    </row>
    <row r="861" spans="33:33" x14ac:dyDescent="0.3">
      <c r="AG861" s="84"/>
    </row>
    <row r="862" spans="33:33" x14ac:dyDescent="0.3">
      <c r="AG862" s="84"/>
    </row>
    <row r="863" spans="33:33" x14ac:dyDescent="0.3">
      <c r="AG863" s="84"/>
    </row>
    <row r="864" spans="33:33" x14ac:dyDescent="0.3">
      <c r="AG864" s="84"/>
    </row>
    <row r="865" spans="33:33" x14ac:dyDescent="0.3">
      <c r="AG865" s="84"/>
    </row>
    <row r="866" spans="33:33" x14ac:dyDescent="0.3">
      <c r="AG866" s="84"/>
    </row>
    <row r="867" spans="33:33" x14ac:dyDescent="0.3">
      <c r="AG867" s="84"/>
    </row>
    <row r="868" spans="33:33" x14ac:dyDescent="0.3">
      <c r="AG868" s="84"/>
    </row>
    <row r="869" spans="33:33" x14ac:dyDescent="0.3">
      <c r="AG869" s="84"/>
    </row>
    <row r="870" spans="33:33" x14ac:dyDescent="0.3">
      <c r="AG870" s="84"/>
    </row>
    <row r="871" spans="33:33" x14ac:dyDescent="0.3">
      <c r="AG871" s="84"/>
    </row>
    <row r="872" spans="33:33" x14ac:dyDescent="0.3">
      <c r="AG872" s="84"/>
    </row>
    <row r="873" spans="33:33" x14ac:dyDescent="0.3">
      <c r="AG873" s="84"/>
    </row>
    <row r="874" spans="33:33" x14ac:dyDescent="0.3">
      <c r="AG874" s="84"/>
    </row>
    <row r="875" spans="33:33" x14ac:dyDescent="0.3">
      <c r="AG875" s="84"/>
    </row>
    <row r="876" spans="33:33" x14ac:dyDescent="0.3">
      <c r="AG876" s="84"/>
    </row>
    <row r="877" spans="33:33" x14ac:dyDescent="0.3">
      <c r="AG877" s="84"/>
    </row>
    <row r="878" spans="33:33" x14ac:dyDescent="0.3">
      <c r="AG878" s="84"/>
    </row>
    <row r="879" spans="33:33" x14ac:dyDescent="0.3">
      <c r="AG879" s="84"/>
    </row>
    <row r="880" spans="33:33" x14ac:dyDescent="0.3">
      <c r="AG880" s="84"/>
    </row>
    <row r="881" spans="33:33" x14ac:dyDescent="0.3">
      <c r="AG881" s="84"/>
    </row>
    <row r="882" spans="33:33" x14ac:dyDescent="0.3">
      <c r="AG882" s="84"/>
    </row>
    <row r="883" spans="33:33" x14ac:dyDescent="0.3">
      <c r="AG883" s="84"/>
    </row>
    <row r="884" spans="33:33" x14ac:dyDescent="0.3">
      <c r="AG884" s="84"/>
    </row>
    <row r="885" spans="33:33" x14ac:dyDescent="0.3">
      <c r="AG885" s="84"/>
    </row>
    <row r="886" spans="33:33" x14ac:dyDescent="0.3">
      <c r="AG886" s="84"/>
    </row>
    <row r="887" spans="33:33" x14ac:dyDescent="0.3">
      <c r="AG887" s="84"/>
    </row>
    <row r="888" spans="33:33" x14ac:dyDescent="0.3">
      <c r="AG888" s="84"/>
    </row>
    <row r="889" spans="33:33" x14ac:dyDescent="0.3">
      <c r="AG889" s="84"/>
    </row>
    <row r="890" spans="33:33" x14ac:dyDescent="0.3">
      <c r="AG890" s="84"/>
    </row>
    <row r="891" spans="33:33" x14ac:dyDescent="0.3">
      <c r="AG891" s="84"/>
    </row>
    <row r="892" spans="33:33" x14ac:dyDescent="0.3">
      <c r="AG892" s="84"/>
    </row>
    <row r="893" spans="33:33" x14ac:dyDescent="0.3">
      <c r="AG893" s="84"/>
    </row>
    <row r="894" spans="33:33" x14ac:dyDescent="0.3">
      <c r="AG894" s="84"/>
    </row>
    <row r="895" spans="33:33" x14ac:dyDescent="0.3">
      <c r="AG895" s="84"/>
    </row>
    <row r="896" spans="33:33" x14ac:dyDescent="0.3">
      <c r="AG896" s="84"/>
    </row>
    <row r="897" spans="33:33" x14ac:dyDescent="0.3">
      <c r="AG897" s="84"/>
    </row>
    <row r="898" spans="33:33" x14ac:dyDescent="0.3">
      <c r="AG898" s="84"/>
    </row>
    <row r="899" spans="33:33" x14ac:dyDescent="0.3">
      <c r="AG899" s="84"/>
    </row>
    <row r="900" spans="33:33" x14ac:dyDescent="0.3">
      <c r="AG900" s="84"/>
    </row>
    <row r="901" spans="33:33" x14ac:dyDescent="0.3">
      <c r="AG901" s="84"/>
    </row>
    <row r="902" spans="33:33" x14ac:dyDescent="0.3">
      <c r="AG902" s="84"/>
    </row>
    <row r="903" spans="33:33" x14ac:dyDescent="0.3">
      <c r="AG903" s="84"/>
    </row>
    <row r="904" spans="33:33" x14ac:dyDescent="0.3">
      <c r="AG904" s="84"/>
    </row>
    <row r="905" spans="33:33" x14ac:dyDescent="0.3">
      <c r="AG905" s="84"/>
    </row>
    <row r="906" spans="33:33" x14ac:dyDescent="0.3">
      <c r="AG906" s="84"/>
    </row>
    <row r="907" spans="33:33" x14ac:dyDescent="0.3">
      <c r="AG907" s="84"/>
    </row>
    <row r="908" spans="33:33" x14ac:dyDescent="0.3">
      <c r="AG908" s="84"/>
    </row>
    <row r="909" spans="33:33" x14ac:dyDescent="0.3">
      <c r="AG909" s="84"/>
    </row>
    <row r="910" spans="33:33" x14ac:dyDescent="0.3">
      <c r="AG910" s="84"/>
    </row>
    <row r="911" spans="33:33" x14ac:dyDescent="0.3">
      <c r="AG911" s="84"/>
    </row>
    <row r="912" spans="33:33" x14ac:dyDescent="0.3">
      <c r="AG912" s="84"/>
    </row>
    <row r="913" spans="33:33" x14ac:dyDescent="0.3">
      <c r="AG913" s="84"/>
    </row>
    <row r="914" spans="33:33" x14ac:dyDescent="0.3">
      <c r="AG914" s="84"/>
    </row>
    <row r="915" spans="33:33" x14ac:dyDescent="0.3">
      <c r="AG915" s="84"/>
    </row>
    <row r="916" spans="33:33" x14ac:dyDescent="0.3">
      <c r="AG916" s="84"/>
    </row>
    <row r="917" spans="33:33" x14ac:dyDescent="0.3">
      <c r="AG917" s="84"/>
    </row>
    <row r="918" spans="33:33" x14ac:dyDescent="0.3">
      <c r="AG918" s="84"/>
    </row>
    <row r="919" spans="33:33" x14ac:dyDescent="0.3">
      <c r="AG919" s="84"/>
    </row>
    <row r="920" spans="33:33" x14ac:dyDescent="0.3">
      <c r="AG920" s="84"/>
    </row>
    <row r="921" spans="33:33" x14ac:dyDescent="0.3">
      <c r="AG921" s="84"/>
    </row>
    <row r="922" spans="33:33" x14ac:dyDescent="0.3">
      <c r="AG922" s="84"/>
    </row>
    <row r="923" spans="33:33" x14ac:dyDescent="0.3">
      <c r="AG923" s="84"/>
    </row>
    <row r="924" spans="33:33" x14ac:dyDescent="0.3">
      <c r="AG924" s="84"/>
    </row>
    <row r="925" spans="33:33" x14ac:dyDescent="0.3">
      <c r="AG925" s="84"/>
    </row>
    <row r="926" spans="33:33" x14ac:dyDescent="0.3">
      <c r="AG926" s="84"/>
    </row>
    <row r="927" spans="33:33" x14ac:dyDescent="0.3">
      <c r="AG927" s="84"/>
    </row>
    <row r="928" spans="33:33" x14ac:dyDescent="0.3">
      <c r="AG928" s="84"/>
    </row>
    <row r="929" spans="33:33" x14ac:dyDescent="0.3">
      <c r="AG929" s="84"/>
    </row>
    <row r="930" spans="33:33" x14ac:dyDescent="0.3">
      <c r="AG930" s="84"/>
    </row>
    <row r="931" spans="33:33" x14ac:dyDescent="0.3">
      <c r="AG931" s="84"/>
    </row>
    <row r="932" spans="33:33" x14ac:dyDescent="0.3">
      <c r="AG932" s="84"/>
    </row>
    <row r="933" spans="33:33" x14ac:dyDescent="0.3">
      <c r="AG933" s="84"/>
    </row>
    <row r="934" spans="33:33" x14ac:dyDescent="0.3">
      <c r="AG934" s="84"/>
    </row>
    <row r="935" spans="33:33" x14ac:dyDescent="0.3">
      <c r="AG935" s="84"/>
    </row>
    <row r="936" spans="33:33" x14ac:dyDescent="0.3">
      <c r="AG936" s="84"/>
    </row>
    <row r="937" spans="33:33" x14ac:dyDescent="0.3">
      <c r="AG937" s="84"/>
    </row>
    <row r="938" spans="33:33" x14ac:dyDescent="0.3">
      <c r="AG938" s="84"/>
    </row>
    <row r="939" spans="33:33" x14ac:dyDescent="0.3">
      <c r="AG939" s="84"/>
    </row>
    <row r="940" spans="33:33" x14ac:dyDescent="0.3">
      <c r="AG940" s="84"/>
    </row>
    <row r="941" spans="33:33" x14ac:dyDescent="0.3">
      <c r="AG941" s="84"/>
    </row>
    <row r="942" spans="33:33" x14ac:dyDescent="0.3">
      <c r="AG942" s="84"/>
    </row>
    <row r="943" spans="33:33" x14ac:dyDescent="0.3">
      <c r="AG943" s="84"/>
    </row>
    <row r="944" spans="33:33" x14ac:dyDescent="0.3">
      <c r="AG944" s="84"/>
    </row>
    <row r="945" spans="33:33" x14ac:dyDescent="0.3">
      <c r="AG945" s="84"/>
    </row>
    <row r="946" spans="33:33" x14ac:dyDescent="0.3">
      <c r="AG946" s="84"/>
    </row>
    <row r="947" spans="33:33" x14ac:dyDescent="0.3">
      <c r="AG947" s="84"/>
    </row>
    <row r="948" spans="33:33" x14ac:dyDescent="0.3">
      <c r="AG948" s="84"/>
    </row>
    <row r="949" spans="33:33" x14ac:dyDescent="0.3">
      <c r="AG949" s="84"/>
    </row>
    <row r="950" spans="33:33" x14ac:dyDescent="0.3">
      <c r="AG950" s="84"/>
    </row>
    <row r="951" spans="33:33" x14ac:dyDescent="0.3">
      <c r="AG951" s="84"/>
    </row>
    <row r="952" spans="33:33" x14ac:dyDescent="0.3">
      <c r="AG952" s="84"/>
    </row>
    <row r="953" spans="33:33" x14ac:dyDescent="0.3">
      <c r="AG953" s="84"/>
    </row>
    <row r="954" spans="33:33" x14ac:dyDescent="0.3">
      <c r="AG954" s="84"/>
    </row>
    <row r="955" spans="33:33" x14ac:dyDescent="0.3">
      <c r="AG955" s="84"/>
    </row>
    <row r="956" spans="33:33" x14ac:dyDescent="0.3">
      <c r="AG956" s="84"/>
    </row>
    <row r="957" spans="33:33" x14ac:dyDescent="0.3">
      <c r="AG957" s="84"/>
    </row>
    <row r="958" spans="33:33" x14ac:dyDescent="0.3">
      <c r="AG958" s="84"/>
    </row>
    <row r="959" spans="33:33" x14ac:dyDescent="0.3">
      <c r="AG959" s="84"/>
    </row>
    <row r="960" spans="33:33" x14ac:dyDescent="0.3">
      <c r="AG960" s="84"/>
    </row>
    <row r="961" spans="33:33" x14ac:dyDescent="0.3">
      <c r="AG961" s="84"/>
    </row>
    <row r="962" spans="33:33" x14ac:dyDescent="0.3">
      <c r="AG962" s="84"/>
    </row>
    <row r="963" spans="33:33" x14ac:dyDescent="0.3">
      <c r="AG963" s="84"/>
    </row>
    <row r="964" spans="33:33" x14ac:dyDescent="0.3">
      <c r="AG964" s="84"/>
    </row>
    <row r="965" spans="33:33" x14ac:dyDescent="0.3">
      <c r="AG965" s="84"/>
    </row>
    <row r="966" spans="33:33" x14ac:dyDescent="0.3">
      <c r="AG966" s="84"/>
    </row>
    <row r="967" spans="33:33" x14ac:dyDescent="0.3">
      <c r="AG967" s="84"/>
    </row>
    <row r="968" spans="33:33" x14ac:dyDescent="0.3">
      <c r="AG968" s="84"/>
    </row>
    <row r="969" spans="33:33" x14ac:dyDescent="0.3">
      <c r="AG969" s="84"/>
    </row>
    <row r="970" spans="33:33" x14ac:dyDescent="0.3">
      <c r="AG970" s="84"/>
    </row>
    <row r="971" spans="33:33" x14ac:dyDescent="0.3">
      <c r="AG971" s="84"/>
    </row>
    <row r="972" spans="33:33" x14ac:dyDescent="0.3">
      <c r="AG972" s="84"/>
    </row>
    <row r="973" spans="33:33" x14ac:dyDescent="0.3">
      <c r="AG973" s="84"/>
    </row>
    <row r="974" spans="33:33" x14ac:dyDescent="0.3">
      <c r="AG974" s="84"/>
    </row>
    <row r="975" spans="33:33" x14ac:dyDescent="0.3">
      <c r="AG975" s="84"/>
    </row>
    <row r="976" spans="33:33" x14ac:dyDescent="0.3">
      <c r="AG976" s="84"/>
    </row>
    <row r="977" spans="33:33" x14ac:dyDescent="0.3">
      <c r="AG977" s="84"/>
    </row>
    <row r="978" spans="33:33" x14ac:dyDescent="0.3">
      <c r="AG978" s="84"/>
    </row>
    <row r="979" spans="33:33" x14ac:dyDescent="0.3">
      <c r="AG979" s="84"/>
    </row>
    <row r="980" spans="33:33" x14ac:dyDescent="0.3">
      <c r="AG980" s="84"/>
    </row>
    <row r="981" spans="33:33" x14ac:dyDescent="0.3">
      <c r="AG981" s="84"/>
    </row>
    <row r="982" spans="33:33" x14ac:dyDescent="0.3">
      <c r="AG982" s="84"/>
    </row>
    <row r="983" spans="33:33" x14ac:dyDescent="0.3">
      <c r="AG983" s="84"/>
    </row>
    <row r="984" spans="33:33" x14ac:dyDescent="0.3">
      <c r="AG984" s="84"/>
    </row>
    <row r="985" spans="33:33" x14ac:dyDescent="0.3">
      <c r="AG985" s="84"/>
    </row>
    <row r="986" spans="33:33" x14ac:dyDescent="0.3">
      <c r="AG986" s="84"/>
    </row>
    <row r="987" spans="33:33" x14ac:dyDescent="0.3">
      <c r="AG987" s="84"/>
    </row>
    <row r="988" spans="33:33" x14ac:dyDescent="0.3">
      <c r="AG988" s="84"/>
    </row>
    <row r="989" spans="33:33" x14ac:dyDescent="0.3">
      <c r="AG989" s="84"/>
    </row>
    <row r="990" spans="33:33" x14ac:dyDescent="0.3">
      <c r="AG990" s="84"/>
    </row>
    <row r="991" spans="33:33" x14ac:dyDescent="0.3">
      <c r="AG991" s="84"/>
    </row>
    <row r="992" spans="33:33" x14ac:dyDescent="0.3">
      <c r="AG992" s="84"/>
    </row>
    <row r="993" spans="33:33" x14ac:dyDescent="0.3">
      <c r="AG993" s="84"/>
    </row>
    <row r="994" spans="33:33" x14ac:dyDescent="0.3">
      <c r="AG994" s="84"/>
    </row>
    <row r="995" spans="33:33" x14ac:dyDescent="0.3">
      <c r="AG995" s="84"/>
    </row>
    <row r="996" spans="33:33" x14ac:dyDescent="0.3">
      <c r="AG996" s="84"/>
    </row>
    <row r="997" spans="33:33" x14ac:dyDescent="0.3">
      <c r="AG997" s="84"/>
    </row>
    <row r="998" spans="33:33" x14ac:dyDescent="0.3">
      <c r="AG998" s="84"/>
    </row>
    <row r="999" spans="33:33" x14ac:dyDescent="0.3">
      <c r="AG999" s="84"/>
    </row>
    <row r="1000" spans="33:33" x14ac:dyDescent="0.3">
      <c r="AG1000" s="84"/>
    </row>
    <row r="1001" spans="33:33" x14ac:dyDescent="0.3">
      <c r="AG1001" s="84"/>
    </row>
    <row r="1002" spans="33:33" x14ac:dyDescent="0.3">
      <c r="AG1002" s="84"/>
    </row>
    <row r="1003" spans="33:33" x14ac:dyDescent="0.3">
      <c r="AG1003" s="84"/>
    </row>
    <row r="1004" spans="33:33" x14ac:dyDescent="0.3">
      <c r="AG1004" s="84"/>
    </row>
    <row r="1005" spans="33:33" x14ac:dyDescent="0.3">
      <c r="AG1005" s="84"/>
    </row>
    <row r="1006" spans="33:33" x14ac:dyDescent="0.3">
      <c r="AG1006" s="84"/>
    </row>
    <row r="1007" spans="33:33" x14ac:dyDescent="0.3">
      <c r="AG1007" s="84"/>
    </row>
    <row r="1008" spans="33:33" x14ac:dyDescent="0.3">
      <c r="AG1008" s="84"/>
    </row>
    <row r="1009" spans="33:33" x14ac:dyDescent="0.3">
      <c r="AG1009" s="84"/>
    </row>
    <row r="1010" spans="33:33" x14ac:dyDescent="0.3">
      <c r="AG1010" s="84"/>
    </row>
    <row r="1011" spans="33:33" x14ac:dyDescent="0.3">
      <c r="AG1011" s="84"/>
    </row>
    <row r="1012" spans="33:33" x14ac:dyDescent="0.3">
      <c r="AG1012" s="84"/>
    </row>
    <row r="1013" spans="33:33" x14ac:dyDescent="0.3">
      <c r="AG1013" s="84"/>
    </row>
    <row r="1014" spans="33:33" x14ac:dyDescent="0.3">
      <c r="AG1014" s="84"/>
    </row>
    <row r="1015" spans="33:33" x14ac:dyDescent="0.3">
      <c r="AG1015" s="84"/>
    </row>
    <row r="1016" spans="33:33" x14ac:dyDescent="0.3">
      <c r="AG1016" s="84"/>
    </row>
    <row r="1017" spans="33:33" x14ac:dyDescent="0.3">
      <c r="AG1017" s="84"/>
    </row>
    <row r="1018" spans="33:33" x14ac:dyDescent="0.3">
      <c r="AG1018" s="84"/>
    </row>
    <row r="1019" spans="33:33" x14ac:dyDescent="0.3">
      <c r="AG1019" s="84"/>
    </row>
    <row r="1020" spans="33:33" x14ac:dyDescent="0.3">
      <c r="AG1020" s="84"/>
    </row>
    <row r="1021" spans="33:33" x14ac:dyDescent="0.3">
      <c r="AG1021" s="84"/>
    </row>
    <row r="1022" spans="33:33" x14ac:dyDescent="0.3">
      <c r="AG1022" s="84"/>
    </row>
    <row r="1023" spans="33:33" x14ac:dyDescent="0.3">
      <c r="AG1023" s="84"/>
    </row>
    <row r="1024" spans="33:33" x14ac:dyDescent="0.3">
      <c r="AG1024" s="84"/>
    </row>
    <row r="1025" spans="33:33" x14ac:dyDescent="0.3">
      <c r="AG1025" s="84"/>
    </row>
    <row r="1026" spans="33:33" x14ac:dyDescent="0.3">
      <c r="AG1026" s="84"/>
    </row>
    <row r="1027" spans="33:33" x14ac:dyDescent="0.3">
      <c r="AG1027" s="84"/>
    </row>
    <row r="1028" spans="33:33" x14ac:dyDescent="0.3">
      <c r="AG1028" s="84"/>
    </row>
    <row r="1029" spans="33:33" x14ac:dyDescent="0.3">
      <c r="AG1029" s="84"/>
    </row>
    <row r="1030" spans="33:33" x14ac:dyDescent="0.3">
      <c r="AG1030" s="84"/>
    </row>
    <row r="1031" spans="33:33" x14ac:dyDescent="0.3">
      <c r="AG1031" s="84"/>
    </row>
    <row r="1032" spans="33:33" x14ac:dyDescent="0.3">
      <c r="AG1032" s="84"/>
    </row>
    <row r="1033" spans="33:33" x14ac:dyDescent="0.3">
      <c r="AG1033" s="84"/>
    </row>
    <row r="1034" spans="33:33" x14ac:dyDescent="0.3">
      <c r="AG1034" s="84"/>
    </row>
    <row r="1035" spans="33:33" x14ac:dyDescent="0.3">
      <c r="AG1035" s="84"/>
    </row>
    <row r="1036" spans="33:33" x14ac:dyDescent="0.3">
      <c r="AG1036" s="84"/>
    </row>
    <row r="1037" spans="33:33" x14ac:dyDescent="0.3">
      <c r="AG1037" s="84"/>
    </row>
    <row r="1038" spans="33:33" x14ac:dyDescent="0.3">
      <c r="AG1038" s="84"/>
    </row>
    <row r="1039" spans="33:33" x14ac:dyDescent="0.3">
      <c r="AG1039" s="84"/>
    </row>
    <row r="1040" spans="33:33" x14ac:dyDescent="0.3">
      <c r="AG1040" s="84"/>
    </row>
    <row r="1041" spans="33:33" x14ac:dyDescent="0.3">
      <c r="AG1041" s="84"/>
    </row>
    <row r="1042" spans="33:33" x14ac:dyDescent="0.3">
      <c r="AG1042" s="84"/>
    </row>
    <row r="1043" spans="33:33" x14ac:dyDescent="0.3">
      <c r="AG1043" s="84"/>
    </row>
    <row r="1044" spans="33:33" x14ac:dyDescent="0.3">
      <c r="AG1044" s="84"/>
    </row>
    <row r="1045" spans="33:33" x14ac:dyDescent="0.3">
      <c r="AG1045" s="84"/>
    </row>
    <row r="1046" spans="33:33" x14ac:dyDescent="0.3">
      <c r="AG1046" s="84"/>
    </row>
    <row r="1047" spans="33:33" x14ac:dyDescent="0.3">
      <c r="AG1047" s="84"/>
    </row>
    <row r="1048" spans="33:33" x14ac:dyDescent="0.3">
      <c r="AG1048" s="84"/>
    </row>
    <row r="1049" spans="33:33" x14ac:dyDescent="0.3">
      <c r="AG1049" s="84"/>
    </row>
    <row r="1050" spans="33:33" x14ac:dyDescent="0.3">
      <c r="AG1050" s="84"/>
    </row>
    <row r="1051" spans="33:33" x14ac:dyDescent="0.3">
      <c r="AG1051" s="84"/>
    </row>
    <row r="1052" spans="33:33" x14ac:dyDescent="0.3">
      <c r="AG1052" s="84"/>
    </row>
    <row r="1053" spans="33:33" x14ac:dyDescent="0.3">
      <c r="AG1053" s="84"/>
    </row>
    <row r="1054" spans="33:33" x14ac:dyDescent="0.3">
      <c r="AG1054" s="84"/>
    </row>
    <row r="1055" spans="33:33" x14ac:dyDescent="0.3">
      <c r="AG1055" s="84"/>
    </row>
    <row r="1056" spans="33:33" x14ac:dyDescent="0.3">
      <c r="AG1056" s="84"/>
    </row>
    <row r="1057" spans="33:33" x14ac:dyDescent="0.3">
      <c r="AG1057" s="84"/>
    </row>
    <row r="1058" spans="33:33" x14ac:dyDescent="0.3">
      <c r="AG1058" s="84"/>
    </row>
    <row r="1059" spans="33:33" x14ac:dyDescent="0.3">
      <c r="AG1059" s="84"/>
    </row>
    <row r="1060" spans="33:33" x14ac:dyDescent="0.3">
      <c r="AG1060" s="84"/>
    </row>
    <row r="1061" spans="33:33" x14ac:dyDescent="0.3">
      <c r="AG1061" s="84"/>
    </row>
    <row r="1062" spans="33:33" x14ac:dyDescent="0.3">
      <c r="AG1062" s="84"/>
    </row>
    <row r="1063" spans="33:33" x14ac:dyDescent="0.3">
      <c r="AG1063" s="84"/>
    </row>
    <row r="1064" spans="33:33" x14ac:dyDescent="0.3">
      <c r="AG1064" s="84"/>
    </row>
    <row r="1065" spans="33:33" x14ac:dyDescent="0.3">
      <c r="AG1065" s="84"/>
    </row>
    <row r="1066" spans="33:33" x14ac:dyDescent="0.3">
      <c r="AG1066" s="84"/>
    </row>
    <row r="1067" spans="33:33" x14ac:dyDescent="0.3">
      <c r="AG1067" s="84"/>
    </row>
    <row r="1068" spans="33:33" x14ac:dyDescent="0.3">
      <c r="AG1068" s="84"/>
    </row>
    <row r="1069" spans="33:33" x14ac:dyDescent="0.3">
      <c r="AG1069" s="84"/>
    </row>
    <row r="1070" spans="33:33" x14ac:dyDescent="0.3">
      <c r="AG1070" s="84"/>
    </row>
    <row r="1071" spans="33:33" x14ac:dyDescent="0.3">
      <c r="AG1071" s="84"/>
    </row>
    <row r="1072" spans="33:33" x14ac:dyDescent="0.3">
      <c r="AG1072" s="84"/>
    </row>
    <row r="1073" spans="33:33" x14ac:dyDescent="0.3">
      <c r="AG1073" s="84"/>
    </row>
    <row r="1074" spans="33:33" x14ac:dyDescent="0.3">
      <c r="AG1074" s="84"/>
    </row>
    <row r="1075" spans="33:33" x14ac:dyDescent="0.3">
      <c r="AG1075" s="84"/>
    </row>
    <row r="1076" spans="33:33" x14ac:dyDescent="0.3">
      <c r="AG1076" s="84"/>
    </row>
    <row r="1077" spans="33:33" x14ac:dyDescent="0.3">
      <c r="AG1077" s="84"/>
    </row>
    <row r="1078" spans="33:33" x14ac:dyDescent="0.3">
      <c r="AG1078" s="84"/>
    </row>
    <row r="1079" spans="33:33" x14ac:dyDescent="0.3">
      <c r="AG1079" s="84"/>
    </row>
    <row r="1080" spans="33:33" x14ac:dyDescent="0.3">
      <c r="AG1080" s="84"/>
    </row>
    <row r="1081" spans="33:33" x14ac:dyDescent="0.3">
      <c r="AG1081" s="84"/>
    </row>
    <row r="1082" spans="33:33" x14ac:dyDescent="0.3">
      <c r="AG1082" s="84"/>
    </row>
    <row r="1083" spans="33:33" x14ac:dyDescent="0.3">
      <c r="AG1083" s="84"/>
    </row>
    <row r="1084" spans="33:33" x14ac:dyDescent="0.3">
      <c r="AG1084" s="84"/>
    </row>
    <row r="1085" spans="33:33" x14ac:dyDescent="0.3">
      <c r="AG1085" s="84"/>
    </row>
    <row r="1086" spans="33:33" x14ac:dyDescent="0.3">
      <c r="AG1086" s="84"/>
    </row>
    <row r="1087" spans="33:33" x14ac:dyDescent="0.3">
      <c r="AG1087" s="84"/>
    </row>
    <row r="1088" spans="33:33" x14ac:dyDescent="0.3">
      <c r="AG1088" s="84"/>
    </row>
    <row r="1089" spans="33:33" x14ac:dyDescent="0.3">
      <c r="AG1089" s="84"/>
    </row>
    <row r="1090" spans="33:33" x14ac:dyDescent="0.3">
      <c r="AG1090" s="84"/>
    </row>
    <row r="1091" spans="33:33" x14ac:dyDescent="0.3">
      <c r="AG1091" s="84"/>
    </row>
    <row r="1092" spans="33:33" x14ac:dyDescent="0.3">
      <c r="AG1092" s="84"/>
    </row>
    <row r="1093" spans="33:33" x14ac:dyDescent="0.3">
      <c r="AG1093" s="84"/>
    </row>
    <row r="1094" spans="33:33" x14ac:dyDescent="0.3">
      <c r="AG1094" s="84"/>
    </row>
    <row r="1095" spans="33:33" x14ac:dyDescent="0.3">
      <c r="AG1095" s="84"/>
    </row>
    <row r="1096" spans="33:33" x14ac:dyDescent="0.3">
      <c r="AG1096" s="84"/>
    </row>
    <row r="1097" spans="33:33" x14ac:dyDescent="0.3">
      <c r="AG1097" s="84"/>
    </row>
    <row r="1098" spans="33:33" x14ac:dyDescent="0.3">
      <c r="AG1098" s="84"/>
    </row>
    <row r="1099" spans="33:33" x14ac:dyDescent="0.3">
      <c r="AG1099" s="84"/>
    </row>
    <row r="1100" spans="33:33" x14ac:dyDescent="0.3">
      <c r="AG1100" s="84"/>
    </row>
    <row r="1101" spans="33:33" x14ac:dyDescent="0.3">
      <c r="AG1101" s="84"/>
    </row>
    <row r="1102" spans="33:33" x14ac:dyDescent="0.3">
      <c r="AG1102" s="84"/>
    </row>
    <row r="1103" spans="33:33" x14ac:dyDescent="0.3">
      <c r="AG1103" s="84"/>
    </row>
    <row r="1104" spans="33:33" x14ac:dyDescent="0.3">
      <c r="AG1104" s="84"/>
    </row>
    <row r="1105" spans="33:33" x14ac:dyDescent="0.3">
      <c r="AG1105" s="84"/>
    </row>
  </sheetData>
  <mergeCells count="88">
    <mergeCell ref="B37:E37"/>
    <mergeCell ref="B38:E38"/>
    <mergeCell ref="B39:E39"/>
    <mergeCell ref="B40:E40"/>
    <mergeCell ref="B32:E32"/>
    <mergeCell ref="B33:E33"/>
    <mergeCell ref="B34:E34"/>
    <mergeCell ref="B35:E35"/>
    <mergeCell ref="B36:E36"/>
    <mergeCell ref="B1:I1"/>
    <mergeCell ref="S3:W3"/>
    <mergeCell ref="A4:E5"/>
    <mergeCell ref="P4:P5"/>
    <mergeCell ref="Q4:Q5"/>
    <mergeCell ref="R4:R5"/>
    <mergeCell ref="S4:S5"/>
    <mergeCell ref="T4:T5"/>
    <mergeCell ref="V4:V5"/>
    <mergeCell ref="W4:W5"/>
    <mergeCell ref="AF4:AF5"/>
    <mergeCell ref="AG4:AG5"/>
    <mergeCell ref="AH4:AH5"/>
    <mergeCell ref="AK4:AK5"/>
    <mergeCell ref="A6:E6"/>
    <mergeCell ref="X4:X5"/>
    <mergeCell ref="Y4:Y5"/>
    <mergeCell ref="Z4:Z5"/>
    <mergeCell ref="AA4:AA5"/>
    <mergeCell ref="AB4:AB5"/>
    <mergeCell ref="AC4:AC5"/>
    <mergeCell ref="B21:E21"/>
    <mergeCell ref="B7:E7"/>
    <mergeCell ref="B8:E8"/>
    <mergeCell ref="B9:E9"/>
    <mergeCell ref="B10:E10"/>
    <mergeCell ref="B11:E11"/>
    <mergeCell ref="B12:E12"/>
    <mergeCell ref="B13:E13"/>
    <mergeCell ref="B14:E14"/>
    <mergeCell ref="B15:E15"/>
    <mergeCell ref="B16:E16"/>
    <mergeCell ref="B17:E17"/>
    <mergeCell ref="B18:E18"/>
    <mergeCell ref="B19:E19"/>
    <mergeCell ref="B20:E20"/>
    <mergeCell ref="B51:E51"/>
    <mergeCell ref="B22:E22"/>
    <mergeCell ref="B41:E41"/>
    <mergeCell ref="B42:E42"/>
    <mergeCell ref="B43:E43"/>
    <mergeCell ref="B44:E44"/>
    <mergeCell ref="B45:E45"/>
    <mergeCell ref="B23:E23"/>
    <mergeCell ref="B24:E24"/>
    <mergeCell ref="B25:E25"/>
    <mergeCell ref="B26:E26"/>
    <mergeCell ref="B27:E27"/>
    <mergeCell ref="B28:E28"/>
    <mergeCell ref="B29:E29"/>
    <mergeCell ref="B30:E30"/>
    <mergeCell ref="B31:E31"/>
    <mergeCell ref="B46:E46"/>
    <mergeCell ref="B47:E47"/>
    <mergeCell ref="B48:E48"/>
    <mergeCell ref="B49:E49"/>
    <mergeCell ref="B50:E50"/>
    <mergeCell ref="B63:E63"/>
    <mergeCell ref="B52:E52"/>
    <mergeCell ref="B53:E53"/>
    <mergeCell ref="B54:E54"/>
    <mergeCell ref="B55:E55"/>
    <mergeCell ref="B56:E56"/>
    <mergeCell ref="B57:E57"/>
    <mergeCell ref="B58:E58"/>
    <mergeCell ref="B59:E59"/>
    <mergeCell ref="B60:E60"/>
    <mergeCell ref="B61:E61"/>
    <mergeCell ref="B62:E62"/>
    <mergeCell ref="B70:E70"/>
    <mergeCell ref="B71:E71"/>
    <mergeCell ref="B72:E72"/>
    <mergeCell ref="B73:E73"/>
    <mergeCell ref="B64:E64"/>
    <mergeCell ref="B65:E65"/>
    <mergeCell ref="B66:E66"/>
    <mergeCell ref="B67:E67"/>
    <mergeCell ref="B68:E68"/>
    <mergeCell ref="B69:E69"/>
  </mergeCells>
  <pageMargins left="0.69930555555555596" right="0.69930555555555596" top="0.75" bottom="0.75" header="0.3" footer="0.3"/>
  <pageSetup paperSize="10000" scale="38" orientation="landscape" r:id="rId1"/>
  <colBreaks count="1" manualBreakCount="1">
    <brk id="37" min="3" max="343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26D37F-B474-4076-8C09-22F982090E43}">
  <dimension ref="A1:EU1105"/>
  <sheetViews>
    <sheetView zoomScale="110" zoomScaleNormal="110" zoomScaleSheetLayoutView="98" workbookViewId="0">
      <pane xSplit="6" ySplit="5" topLeftCell="X7" activePane="bottomRight" state="frozen"/>
      <selection activeCell="A16" sqref="A16:XFD16"/>
      <selection pane="topRight" activeCell="A16" sqref="A16:XFD16"/>
      <selection pane="bottomLeft" activeCell="A16" sqref="A16:XFD16"/>
      <selection pane="bottomRight" activeCell="AK7" sqref="AK7"/>
    </sheetView>
  </sheetViews>
  <sheetFormatPr defaultColWidth="9" defaultRowHeight="14.4" x14ac:dyDescent="0.3"/>
  <cols>
    <col min="1" max="1" width="3" customWidth="1"/>
    <col min="2" max="2" width="16.44140625" bestFit="1" customWidth="1"/>
    <col min="3" max="3" width="1.88671875" customWidth="1"/>
    <col min="4" max="4" width="13.109375" customWidth="1"/>
    <col min="5" max="5" width="3" customWidth="1"/>
    <col min="6" max="6" width="17.5546875" hidden="1" customWidth="1"/>
    <col min="7" max="7" width="12" customWidth="1"/>
    <col min="8" max="8" width="41.44140625" hidden="1" customWidth="1"/>
    <col min="9" max="9" width="10.5546875" customWidth="1"/>
    <col min="10" max="10" width="43" hidden="1" customWidth="1"/>
    <col min="11" max="11" width="10.5546875" customWidth="1"/>
    <col min="12" max="12" width="31.44140625" hidden="1" customWidth="1"/>
    <col min="13" max="13" width="9" customWidth="1"/>
    <col min="14" max="14" width="28.109375" hidden="1" customWidth="1"/>
    <col min="15" max="15" width="10.44140625" customWidth="1"/>
    <col min="16" max="16" width="10.109375" customWidth="1"/>
    <col min="17" max="17" width="8.88671875" bestFit="1" customWidth="1"/>
    <col min="18" max="20" width="8.44140625" customWidth="1"/>
    <col min="21" max="21" width="9.33203125" customWidth="1"/>
    <col min="22" max="23" width="9.6640625" customWidth="1"/>
    <col min="24" max="24" width="10.109375" customWidth="1"/>
    <col min="25" max="25" width="9.109375" customWidth="1"/>
    <col min="26" max="26" width="9.88671875" customWidth="1"/>
    <col min="27" max="27" width="8.33203125" customWidth="1"/>
    <col min="28" max="28" width="8.109375" customWidth="1"/>
    <col min="29" max="29" width="11.33203125" customWidth="1"/>
    <col min="30" max="30" width="11.6640625" customWidth="1"/>
    <col min="31" max="31" width="8.33203125" customWidth="1"/>
    <col min="32" max="32" width="12.44140625" customWidth="1"/>
    <col min="33" max="33" width="9.88671875" customWidth="1"/>
    <col min="34" max="34" width="10.5546875" customWidth="1"/>
    <col min="35" max="35" width="10.33203125" customWidth="1"/>
    <col min="36" max="36" width="8.5546875" customWidth="1"/>
    <col min="37" max="37" width="12.5546875" customWidth="1"/>
    <col min="38" max="38" width="6.109375" customWidth="1"/>
    <col min="39" max="39" width="3" customWidth="1"/>
  </cols>
  <sheetData>
    <row r="1" spans="1:115" x14ac:dyDescent="0.3">
      <c r="A1" s="1"/>
      <c r="B1" s="116"/>
      <c r="C1" s="116"/>
      <c r="D1" s="116"/>
      <c r="E1" s="116"/>
      <c r="F1" s="116"/>
      <c r="G1" s="116"/>
      <c r="H1" s="116"/>
      <c r="I1" s="116"/>
      <c r="J1" s="2"/>
      <c r="K1" s="2"/>
      <c r="L1" s="3"/>
      <c r="M1" s="2"/>
      <c r="N1" s="2"/>
      <c r="O1" s="2"/>
      <c r="Q1" s="2"/>
      <c r="R1" s="2"/>
      <c r="S1" s="2"/>
      <c r="T1" s="2"/>
      <c r="AG1" s="4"/>
      <c r="AH1" s="4"/>
      <c r="AL1" s="5"/>
      <c r="AM1" s="6"/>
      <c r="AN1" s="5"/>
      <c r="AO1" s="5"/>
      <c r="AP1" s="5"/>
      <c r="AQ1" s="5"/>
      <c r="AR1" s="7"/>
      <c r="AS1" s="7"/>
      <c r="AT1" s="7"/>
      <c r="AU1" s="7"/>
      <c r="AV1" s="7"/>
    </row>
    <row r="2" spans="1:115" ht="12" hidden="1" customHeight="1" x14ac:dyDescent="0.3">
      <c r="A2" s="8"/>
      <c r="B2" s="9"/>
      <c r="C2" s="10" t="s">
        <v>0</v>
      </c>
      <c r="D2" s="11"/>
      <c r="E2" s="10"/>
      <c r="F2" s="10"/>
      <c r="H2" s="12" t="s">
        <v>1</v>
      </c>
      <c r="I2" s="13"/>
      <c r="J2" s="14"/>
      <c r="K2" s="15" t="s">
        <v>2</v>
      </c>
      <c r="L2" s="14"/>
      <c r="M2" s="16"/>
      <c r="N2" s="17"/>
      <c r="O2" s="18"/>
      <c r="Q2" s="19"/>
      <c r="R2" s="19" t="s">
        <v>3</v>
      </c>
      <c r="S2" s="20"/>
      <c r="U2" s="21" t="s">
        <v>4</v>
      </c>
      <c r="V2" s="21"/>
      <c r="W2" s="22"/>
      <c r="Y2" s="23" t="s">
        <v>5</v>
      </c>
      <c r="Z2" s="24"/>
      <c r="AB2" s="25" t="s">
        <v>6</v>
      </c>
      <c r="AC2" s="26"/>
      <c r="AD2" s="27"/>
      <c r="AE2" s="28" t="s">
        <v>7</v>
      </c>
      <c r="AF2" s="29"/>
      <c r="AG2" s="30"/>
      <c r="AH2" s="31" t="s">
        <v>8</v>
      </c>
      <c r="AI2" s="32"/>
      <c r="AJ2" s="32"/>
      <c r="AN2" s="5"/>
      <c r="AO2" s="5"/>
      <c r="AP2" s="5"/>
      <c r="AQ2" s="5"/>
      <c r="AR2" s="7"/>
      <c r="AS2" s="7"/>
      <c r="AT2" s="7"/>
      <c r="AU2" s="7"/>
      <c r="AV2" s="7"/>
    </row>
    <row r="3" spans="1:115" ht="15" customHeight="1" x14ac:dyDescent="0.3">
      <c r="A3" s="33" t="s">
        <v>9</v>
      </c>
      <c r="B3" s="34"/>
      <c r="C3" s="35"/>
      <c r="D3" s="34"/>
      <c r="E3" s="36"/>
      <c r="F3" s="37"/>
      <c r="G3" s="38" t="s">
        <v>10</v>
      </c>
      <c r="H3" s="39"/>
      <c r="I3" s="38"/>
      <c r="J3" s="38"/>
      <c r="K3" s="40"/>
      <c r="L3" s="41"/>
      <c r="M3" s="42"/>
      <c r="N3" s="43"/>
      <c r="O3" s="43"/>
      <c r="P3" s="44"/>
      <c r="Q3" s="45"/>
      <c r="R3" s="46"/>
      <c r="S3" s="117" t="s">
        <v>11</v>
      </c>
      <c r="T3" s="117"/>
      <c r="U3" s="118"/>
      <c r="V3" s="118"/>
      <c r="W3" s="118"/>
      <c r="X3" s="40"/>
      <c r="Y3" s="40"/>
      <c r="Z3" s="40"/>
      <c r="AA3" s="40"/>
      <c r="AB3" s="40"/>
      <c r="AC3" s="40"/>
      <c r="AD3" s="40"/>
      <c r="AE3" s="40"/>
      <c r="AF3" s="40"/>
      <c r="AG3" s="40"/>
      <c r="AH3" s="40"/>
      <c r="AI3" s="40"/>
      <c r="AJ3" s="40"/>
      <c r="AK3" s="47"/>
      <c r="AL3" s="35"/>
      <c r="AM3" s="48"/>
    </row>
    <row r="4" spans="1:115" s="1" customFormat="1" ht="22.5" customHeight="1" x14ac:dyDescent="0.3">
      <c r="A4" s="119" t="s">
        <v>12</v>
      </c>
      <c r="B4" s="119"/>
      <c r="C4" s="119"/>
      <c r="D4" s="119"/>
      <c r="E4" s="119"/>
      <c r="F4" s="49" t="s">
        <v>13</v>
      </c>
      <c r="G4" s="103" t="s">
        <v>14</v>
      </c>
      <c r="H4" s="104" t="s">
        <v>15</v>
      </c>
      <c r="I4" s="105" t="s">
        <v>15</v>
      </c>
      <c r="J4" s="104" t="s">
        <v>16</v>
      </c>
      <c r="K4" s="105" t="s">
        <v>17</v>
      </c>
      <c r="L4" s="104" t="s">
        <v>18</v>
      </c>
      <c r="M4" s="41" t="s">
        <v>19</v>
      </c>
      <c r="N4" s="106" t="s">
        <v>20</v>
      </c>
      <c r="O4" s="105" t="s">
        <v>21</v>
      </c>
      <c r="P4" s="112" t="s">
        <v>22</v>
      </c>
      <c r="Q4" s="112" t="s">
        <v>23</v>
      </c>
      <c r="R4" s="112" t="s">
        <v>24</v>
      </c>
      <c r="S4" s="120" t="s">
        <v>25</v>
      </c>
      <c r="T4" s="120" t="s">
        <v>26</v>
      </c>
      <c r="U4" s="51" t="s">
        <v>27</v>
      </c>
      <c r="V4" s="112" t="s">
        <v>28</v>
      </c>
      <c r="W4" s="112" t="s">
        <v>29</v>
      </c>
      <c r="X4" s="112" t="s">
        <v>30</v>
      </c>
      <c r="Y4" s="112" t="s">
        <v>31</v>
      </c>
      <c r="Z4" s="112" t="s">
        <v>32</v>
      </c>
      <c r="AA4" s="112" t="s">
        <v>33</v>
      </c>
      <c r="AB4" s="112" t="s">
        <v>34</v>
      </c>
      <c r="AC4" s="112" t="s">
        <v>35</v>
      </c>
      <c r="AD4" s="52" t="s">
        <v>36</v>
      </c>
      <c r="AE4" s="50" t="s">
        <v>37</v>
      </c>
      <c r="AF4" s="112" t="s">
        <v>38</v>
      </c>
      <c r="AG4" s="112" t="s">
        <v>39</v>
      </c>
      <c r="AH4" s="112" t="s">
        <v>40</v>
      </c>
      <c r="AI4" s="50" t="s">
        <v>41</v>
      </c>
      <c r="AJ4" s="50" t="s">
        <v>42</v>
      </c>
      <c r="AK4" s="113" t="s">
        <v>43</v>
      </c>
      <c r="AL4" s="33"/>
      <c r="AM4" s="48"/>
      <c r="AN4" s="5"/>
      <c r="AO4" s="5"/>
      <c r="AP4" s="5"/>
      <c r="AQ4" s="5"/>
      <c r="AR4" s="7"/>
      <c r="AS4" s="7"/>
      <c r="AT4" s="7"/>
      <c r="AU4" s="7"/>
      <c r="AV4" s="7"/>
      <c r="AW4"/>
      <c r="AX4"/>
      <c r="AY4"/>
      <c r="AZ4"/>
      <c r="BA4"/>
      <c r="BB4"/>
      <c r="BC4"/>
      <c r="BD4"/>
      <c r="BE4"/>
      <c r="BF4"/>
      <c r="BG4"/>
    </row>
    <row r="5" spans="1:115" s="1" customFormat="1" ht="18" customHeight="1" x14ac:dyDescent="0.3">
      <c r="A5" s="119"/>
      <c r="B5" s="119"/>
      <c r="C5" s="119"/>
      <c r="D5" s="119"/>
      <c r="E5" s="119"/>
      <c r="F5" s="49"/>
      <c r="G5" s="105" t="s">
        <v>44</v>
      </c>
      <c r="H5" s="104" t="s">
        <v>45</v>
      </c>
      <c r="I5" s="105" t="s">
        <v>44</v>
      </c>
      <c r="J5" s="104" t="s">
        <v>45</v>
      </c>
      <c r="K5" s="105" t="s">
        <v>44</v>
      </c>
      <c r="L5" s="104" t="s">
        <v>45</v>
      </c>
      <c r="M5" s="105" t="s">
        <v>44</v>
      </c>
      <c r="N5" s="107" t="s">
        <v>46</v>
      </c>
      <c r="O5" s="105" t="s">
        <v>44</v>
      </c>
      <c r="P5" s="112"/>
      <c r="Q5" s="112"/>
      <c r="R5" s="112"/>
      <c r="S5" s="120"/>
      <c r="T5" s="120"/>
      <c r="U5" s="53"/>
      <c r="V5" s="112"/>
      <c r="W5" s="112"/>
      <c r="X5" s="112"/>
      <c r="Y5" s="112"/>
      <c r="Z5" s="112"/>
      <c r="AA5" s="112"/>
      <c r="AB5" s="112"/>
      <c r="AC5" s="112"/>
      <c r="AD5" s="50" t="s">
        <v>47</v>
      </c>
      <c r="AE5" s="50" t="s">
        <v>48</v>
      </c>
      <c r="AF5" s="112"/>
      <c r="AG5" s="112"/>
      <c r="AH5" s="112"/>
      <c r="AI5" s="54" t="s">
        <v>47</v>
      </c>
      <c r="AJ5" s="54" t="s">
        <v>49</v>
      </c>
      <c r="AK5" s="113"/>
      <c r="AL5" s="33"/>
      <c r="AM5" s="48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</row>
    <row r="6" spans="1:115" s="1" customFormat="1" ht="15" customHeight="1" x14ac:dyDescent="0.3">
      <c r="A6" s="114" t="s">
        <v>55</v>
      </c>
      <c r="B6" s="115"/>
      <c r="C6" s="115"/>
      <c r="D6" s="115"/>
      <c r="E6" s="115"/>
      <c r="F6" s="55"/>
      <c r="G6" s="56"/>
      <c r="H6" s="57"/>
      <c r="I6" s="57"/>
      <c r="J6" s="57"/>
      <c r="K6" s="57"/>
      <c r="L6" s="57"/>
      <c r="M6" s="57"/>
      <c r="N6" s="58"/>
      <c r="O6" s="58"/>
      <c r="P6" s="59"/>
      <c r="Q6" s="55"/>
      <c r="R6" s="55"/>
      <c r="S6" s="60"/>
      <c r="T6" s="60"/>
      <c r="U6" s="61"/>
      <c r="V6" s="55"/>
      <c r="W6" s="55"/>
      <c r="X6" s="55"/>
      <c r="Y6" s="55"/>
      <c r="Z6" s="55"/>
      <c r="AA6" s="55"/>
      <c r="AB6" s="55"/>
      <c r="AC6" s="55"/>
      <c r="AD6" s="55"/>
      <c r="AE6" s="55"/>
      <c r="AF6" s="55"/>
      <c r="AG6" s="55"/>
      <c r="AH6" s="55"/>
      <c r="AI6" s="62"/>
      <c r="AJ6" s="62"/>
      <c r="AK6" s="63"/>
      <c r="AL6" s="64"/>
      <c r="AM6" s="48"/>
      <c r="AN6" s="5"/>
      <c r="AO6" s="5"/>
      <c r="AP6" s="5"/>
      <c r="AQ6" s="5"/>
      <c r="AR6" s="7"/>
      <c r="AS6" s="7"/>
      <c r="AT6" s="7"/>
      <c r="AU6" s="7"/>
      <c r="AV6" s="7"/>
      <c r="AW6"/>
      <c r="AX6"/>
      <c r="AY6"/>
      <c r="AZ6"/>
      <c r="BA6"/>
      <c r="BB6"/>
      <c r="BC6"/>
      <c r="BD6"/>
      <c r="BE6"/>
      <c r="BF6"/>
      <c r="BG6"/>
    </row>
    <row r="7" spans="1:115" ht="15" customHeight="1" x14ac:dyDescent="0.3">
      <c r="A7" s="65"/>
      <c r="B7" s="109"/>
      <c r="C7" s="110"/>
      <c r="D7" s="110"/>
      <c r="E7" s="111"/>
      <c r="F7" s="85"/>
      <c r="G7" s="86"/>
      <c r="H7" s="86"/>
      <c r="I7" s="86"/>
      <c r="J7" s="86"/>
      <c r="K7" s="86"/>
      <c r="L7" s="86"/>
      <c r="M7" s="86"/>
      <c r="N7" s="86"/>
      <c r="O7" s="86"/>
      <c r="P7" s="86"/>
      <c r="Q7" s="67">
        <f t="shared" ref="Q7:Q70" si="0">P7*0.02</f>
        <v>0</v>
      </c>
      <c r="R7" s="67">
        <f t="shared" ref="R7:R70" si="1">P7+Q7</f>
        <v>0</v>
      </c>
      <c r="S7" s="86"/>
      <c r="T7" s="86"/>
      <c r="U7" s="86"/>
      <c r="V7" s="86"/>
      <c r="W7" s="66">
        <f t="shared" ref="W7:W70" si="2">G7+I7+K7+M7+O7+R7+S7+T7+U7+V7</f>
        <v>0</v>
      </c>
      <c r="X7" s="96"/>
      <c r="Y7" s="68">
        <f t="shared" ref="Y7:Y70" si="3">X7*0.02</f>
        <v>0</v>
      </c>
      <c r="Z7" s="68">
        <f t="shared" ref="Z7:Z70" si="4">X7+Y7</f>
        <v>0</v>
      </c>
      <c r="AA7" s="72"/>
      <c r="AB7" s="68">
        <f>AA7*0.025</f>
        <v>0</v>
      </c>
      <c r="AC7" s="68">
        <f>AA7+AB7</f>
        <v>0</v>
      </c>
      <c r="AD7" s="68"/>
      <c r="AE7" s="55"/>
      <c r="AF7" s="69">
        <f t="shared" ref="AF7:AF73" si="5">W7+Z7+AC7+AD7+AE7</f>
        <v>0</v>
      </c>
      <c r="AG7" s="86"/>
      <c r="AH7" s="108"/>
      <c r="AI7" s="108"/>
      <c r="AJ7" s="108"/>
      <c r="AK7" s="70">
        <f t="shared" ref="AK7:AK70" si="6">AF7-AG7-AH7-AI7-AJ7</f>
        <v>0</v>
      </c>
      <c r="AL7" s="71"/>
      <c r="AM7" s="48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</row>
    <row r="8" spans="1:115" ht="15.75" customHeight="1" x14ac:dyDescent="0.3">
      <c r="A8" s="65"/>
      <c r="B8" s="109"/>
      <c r="C8" s="110"/>
      <c r="D8" s="110"/>
      <c r="E8" s="111"/>
      <c r="F8" s="85"/>
      <c r="G8" s="86"/>
      <c r="H8" s="86"/>
      <c r="I8" s="86"/>
      <c r="J8" s="86"/>
      <c r="K8" s="86"/>
      <c r="L8" s="86"/>
      <c r="M8" s="86"/>
      <c r="N8" s="86"/>
      <c r="O8" s="86"/>
      <c r="P8" s="86"/>
      <c r="Q8" s="67">
        <f t="shared" si="0"/>
        <v>0</v>
      </c>
      <c r="R8" s="67">
        <f t="shared" si="1"/>
        <v>0</v>
      </c>
      <c r="S8" s="86"/>
      <c r="T8" s="86"/>
      <c r="U8" s="86"/>
      <c r="V8" s="86"/>
      <c r="W8" s="66">
        <f t="shared" si="2"/>
        <v>0</v>
      </c>
      <c r="X8" s="97"/>
      <c r="Y8" s="68">
        <f t="shared" si="3"/>
        <v>0</v>
      </c>
      <c r="Z8" s="68">
        <f t="shared" si="4"/>
        <v>0</v>
      </c>
      <c r="AA8" s="72"/>
      <c r="AB8" s="68">
        <f t="shared" ref="AB8:AB73" si="7">AA8*0.025</f>
        <v>0</v>
      </c>
      <c r="AC8" s="68">
        <f t="shared" ref="AC8:AC73" si="8">AA8+AB8</f>
        <v>0</v>
      </c>
      <c r="AD8" s="68"/>
      <c r="AE8" s="55"/>
      <c r="AF8" s="69">
        <f t="shared" si="5"/>
        <v>0</v>
      </c>
      <c r="AG8" s="86"/>
      <c r="AH8" s="108"/>
      <c r="AI8" s="108"/>
      <c r="AJ8" s="108"/>
      <c r="AK8" s="70">
        <f t="shared" si="6"/>
        <v>0</v>
      </c>
      <c r="AL8" s="71"/>
      <c r="AM8" s="48"/>
      <c r="AN8" s="5"/>
      <c r="AO8" s="5"/>
      <c r="AP8" s="5"/>
      <c r="AQ8" s="5"/>
      <c r="AR8" s="7"/>
      <c r="AS8" s="7"/>
      <c r="AT8" s="7"/>
      <c r="AU8" s="7"/>
      <c r="AV8" s="7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</row>
    <row r="9" spans="1:115" ht="14.25" customHeight="1" x14ac:dyDescent="0.3">
      <c r="A9" s="65"/>
      <c r="B9" s="109"/>
      <c r="C9" s="110"/>
      <c r="D9" s="110"/>
      <c r="E9" s="111"/>
      <c r="F9" s="85"/>
      <c r="G9" s="86"/>
      <c r="H9" s="86"/>
      <c r="I9" s="86"/>
      <c r="J9" s="86"/>
      <c r="K9" s="86"/>
      <c r="L9" s="86"/>
      <c r="M9" s="86"/>
      <c r="N9" s="86"/>
      <c r="O9" s="86"/>
      <c r="P9" s="86"/>
      <c r="Q9" s="67">
        <f t="shared" si="0"/>
        <v>0</v>
      </c>
      <c r="R9" s="67">
        <f t="shared" si="1"/>
        <v>0</v>
      </c>
      <c r="S9" s="86"/>
      <c r="T9" s="86"/>
      <c r="U9" s="86"/>
      <c r="V9" s="86"/>
      <c r="W9" s="66">
        <f t="shared" si="2"/>
        <v>0</v>
      </c>
      <c r="X9" s="98"/>
      <c r="Y9" s="68">
        <f t="shared" si="3"/>
        <v>0</v>
      </c>
      <c r="Z9" s="68">
        <f t="shared" si="4"/>
        <v>0</v>
      </c>
      <c r="AA9" s="72"/>
      <c r="AB9" s="68">
        <f t="shared" si="7"/>
        <v>0</v>
      </c>
      <c r="AC9" s="68">
        <f t="shared" si="8"/>
        <v>0</v>
      </c>
      <c r="AD9" s="68"/>
      <c r="AE9" s="55"/>
      <c r="AF9" s="69">
        <f t="shared" si="5"/>
        <v>0</v>
      </c>
      <c r="AG9" s="86"/>
      <c r="AH9" s="108"/>
      <c r="AI9" s="108"/>
      <c r="AJ9" s="108"/>
      <c r="AK9" s="70">
        <f t="shared" si="6"/>
        <v>0</v>
      </c>
      <c r="AL9" s="71"/>
      <c r="AM9" s="48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</row>
    <row r="10" spans="1:115" ht="15" customHeight="1" x14ac:dyDescent="0.3">
      <c r="A10" s="65"/>
      <c r="B10" s="109"/>
      <c r="C10" s="110"/>
      <c r="D10" s="110"/>
      <c r="E10" s="111"/>
      <c r="F10" s="85"/>
      <c r="G10" s="86"/>
      <c r="H10" s="86"/>
      <c r="I10" s="86"/>
      <c r="J10" s="86"/>
      <c r="K10" s="86"/>
      <c r="L10" s="86"/>
      <c r="M10" s="86"/>
      <c r="N10" s="86"/>
      <c r="O10" s="86"/>
      <c r="P10" s="86"/>
      <c r="Q10" s="67">
        <f t="shared" si="0"/>
        <v>0</v>
      </c>
      <c r="R10" s="67">
        <f t="shared" si="1"/>
        <v>0</v>
      </c>
      <c r="S10" s="86"/>
      <c r="T10" s="86"/>
      <c r="U10" s="86"/>
      <c r="V10" s="86"/>
      <c r="W10" s="66">
        <f t="shared" si="2"/>
        <v>0</v>
      </c>
      <c r="X10" s="97"/>
      <c r="Y10" s="68">
        <f t="shared" si="3"/>
        <v>0</v>
      </c>
      <c r="Z10" s="68">
        <f t="shared" si="4"/>
        <v>0</v>
      </c>
      <c r="AA10" s="72"/>
      <c r="AB10" s="68">
        <f t="shared" si="7"/>
        <v>0</v>
      </c>
      <c r="AC10" s="68">
        <f t="shared" si="8"/>
        <v>0</v>
      </c>
      <c r="AD10" s="68"/>
      <c r="AE10" s="55"/>
      <c r="AF10" s="69">
        <f t="shared" si="5"/>
        <v>0</v>
      </c>
      <c r="AG10" s="86"/>
      <c r="AH10" s="108"/>
      <c r="AI10" s="108"/>
      <c r="AJ10" s="108"/>
      <c r="AK10" s="70">
        <f t="shared" si="6"/>
        <v>0</v>
      </c>
      <c r="AL10" s="71"/>
      <c r="AM10" s="48"/>
      <c r="AN10" s="5"/>
      <c r="AO10" s="5"/>
      <c r="AP10" s="5"/>
      <c r="AQ10" s="5"/>
      <c r="AR10" s="7"/>
      <c r="AS10" s="7"/>
      <c r="AT10" s="7"/>
      <c r="AU10" s="7"/>
      <c r="AV10" s="7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</row>
    <row r="11" spans="1:115" s="42" customFormat="1" ht="15" customHeight="1" x14ac:dyDescent="0.3">
      <c r="A11" s="65"/>
      <c r="B11" s="109"/>
      <c r="C11" s="110"/>
      <c r="D11" s="110"/>
      <c r="E11" s="111"/>
      <c r="F11" s="93"/>
      <c r="G11" s="86"/>
      <c r="H11" s="86"/>
      <c r="I11" s="86"/>
      <c r="J11" s="86"/>
      <c r="K11" s="86"/>
      <c r="L11" s="86"/>
      <c r="M11" s="86"/>
      <c r="N11" s="86"/>
      <c r="O11" s="86"/>
      <c r="P11" s="86"/>
      <c r="Q11" s="67">
        <f t="shared" si="0"/>
        <v>0</v>
      </c>
      <c r="R11" s="67">
        <f t="shared" si="1"/>
        <v>0</v>
      </c>
      <c r="S11" s="86"/>
      <c r="T11" s="86"/>
      <c r="U11" s="86"/>
      <c r="V11" s="86"/>
      <c r="W11" s="66">
        <f t="shared" si="2"/>
        <v>0</v>
      </c>
      <c r="X11" s="99"/>
      <c r="Y11" s="68">
        <f t="shared" si="3"/>
        <v>0</v>
      </c>
      <c r="Z11" s="68">
        <f t="shared" si="4"/>
        <v>0</v>
      </c>
      <c r="AA11" s="72"/>
      <c r="AB11" s="68">
        <f t="shared" si="7"/>
        <v>0</v>
      </c>
      <c r="AC11" s="68">
        <f t="shared" si="8"/>
        <v>0</v>
      </c>
      <c r="AD11" s="68"/>
      <c r="AE11" s="55"/>
      <c r="AF11" s="69">
        <f t="shared" si="5"/>
        <v>0</v>
      </c>
      <c r="AG11" s="86"/>
      <c r="AH11" s="108"/>
      <c r="AI11" s="108"/>
      <c r="AJ11" s="108"/>
      <c r="AK11" s="70">
        <f t="shared" si="6"/>
        <v>0</v>
      </c>
      <c r="AL11" s="71"/>
      <c r="AM11" s="48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</row>
    <row r="12" spans="1:115" s="74" customFormat="1" ht="15" customHeight="1" x14ac:dyDescent="0.3">
      <c r="A12" s="65"/>
      <c r="B12" s="109"/>
      <c r="C12" s="110"/>
      <c r="D12" s="110"/>
      <c r="E12" s="111"/>
      <c r="F12" s="93"/>
      <c r="G12" s="86"/>
      <c r="H12" s="86"/>
      <c r="I12" s="86"/>
      <c r="J12" s="86"/>
      <c r="K12" s="86"/>
      <c r="L12" s="86"/>
      <c r="M12" s="86"/>
      <c r="N12" s="86"/>
      <c r="O12" s="86"/>
      <c r="P12" s="87"/>
      <c r="Q12" s="67">
        <f t="shared" si="0"/>
        <v>0</v>
      </c>
      <c r="R12" s="67">
        <f t="shared" si="1"/>
        <v>0</v>
      </c>
      <c r="S12" s="86"/>
      <c r="T12" s="86"/>
      <c r="U12" s="86"/>
      <c r="V12" s="86"/>
      <c r="W12" s="66">
        <f t="shared" si="2"/>
        <v>0</v>
      </c>
      <c r="X12" s="96"/>
      <c r="Y12" s="68">
        <f t="shared" si="3"/>
        <v>0</v>
      </c>
      <c r="Z12" s="68">
        <f t="shared" si="4"/>
        <v>0</v>
      </c>
      <c r="AA12" s="72"/>
      <c r="AB12" s="68">
        <f t="shared" si="7"/>
        <v>0</v>
      </c>
      <c r="AC12" s="68">
        <f t="shared" si="8"/>
        <v>0</v>
      </c>
      <c r="AD12" s="68"/>
      <c r="AE12" s="55"/>
      <c r="AF12" s="69">
        <f t="shared" si="5"/>
        <v>0</v>
      </c>
      <c r="AG12" s="86"/>
      <c r="AH12" s="108"/>
      <c r="AI12" s="108"/>
      <c r="AJ12" s="108"/>
      <c r="AK12" s="70">
        <f t="shared" si="6"/>
        <v>0</v>
      </c>
      <c r="AL12" s="71"/>
      <c r="AM12" s="48"/>
      <c r="AN12" s="5"/>
      <c r="AO12" s="5"/>
      <c r="AP12" s="5"/>
      <c r="AQ12" s="5"/>
      <c r="AR12" s="7"/>
      <c r="AS12" s="7"/>
      <c r="AT12" s="7"/>
      <c r="AU12" s="7"/>
      <c r="AV12" s="7"/>
      <c r="AW12"/>
      <c r="AX12"/>
      <c r="AY12"/>
      <c r="AZ12"/>
      <c r="BA12"/>
      <c r="BB12"/>
      <c r="BC12"/>
      <c r="BD12"/>
      <c r="BE12"/>
      <c r="BF12"/>
      <c r="BG12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</row>
    <row r="13" spans="1:115" s="42" customFormat="1" ht="15" customHeight="1" x14ac:dyDescent="0.3">
      <c r="A13" s="65"/>
      <c r="B13" s="109"/>
      <c r="C13" s="110"/>
      <c r="D13" s="110"/>
      <c r="E13" s="111"/>
      <c r="F13" s="93"/>
      <c r="G13" s="86"/>
      <c r="H13" s="86"/>
      <c r="I13" s="86"/>
      <c r="J13" s="86"/>
      <c r="K13" s="86"/>
      <c r="L13" s="86"/>
      <c r="M13" s="86"/>
      <c r="N13" s="86"/>
      <c r="O13" s="86"/>
      <c r="P13" s="86"/>
      <c r="Q13" s="67">
        <f t="shared" si="0"/>
        <v>0</v>
      </c>
      <c r="R13" s="67">
        <f t="shared" si="1"/>
        <v>0</v>
      </c>
      <c r="S13" s="86"/>
      <c r="T13" s="86"/>
      <c r="U13" s="86"/>
      <c r="V13" s="86"/>
      <c r="W13" s="66">
        <f t="shared" si="2"/>
        <v>0</v>
      </c>
      <c r="X13" s="96"/>
      <c r="Y13" s="68">
        <f t="shared" si="3"/>
        <v>0</v>
      </c>
      <c r="Z13" s="68">
        <f t="shared" si="4"/>
        <v>0</v>
      </c>
      <c r="AA13" s="72"/>
      <c r="AB13" s="68">
        <f t="shared" si="7"/>
        <v>0</v>
      </c>
      <c r="AC13" s="68">
        <f t="shared" si="8"/>
        <v>0</v>
      </c>
      <c r="AD13" s="68"/>
      <c r="AE13" s="55"/>
      <c r="AF13" s="69">
        <f t="shared" si="5"/>
        <v>0</v>
      </c>
      <c r="AG13" s="86"/>
      <c r="AH13" s="108"/>
      <c r="AI13" s="108"/>
      <c r="AJ13" s="108"/>
      <c r="AK13" s="70">
        <f t="shared" si="6"/>
        <v>0</v>
      </c>
      <c r="AL13" s="71"/>
      <c r="AM13" s="48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</row>
    <row r="14" spans="1:115" ht="15" customHeight="1" x14ac:dyDescent="0.3">
      <c r="A14" s="65"/>
      <c r="B14" s="109"/>
      <c r="C14" s="110"/>
      <c r="D14" s="110"/>
      <c r="E14" s="111"/>
      <c r="F14" s="88"/>
      <c r="G14" s="86"/>
      <c r="H14" s="86"/>
      <c r="I14" s="86"/>
      <c r="J14" s="86"/>
      <c r="K14" s="86"/>
      <c r="L14" s="86"/>
      <c r="M14" s="86"/>
      <c r="N14" s="86"/>
      <c r="O14" s="86"/>
      <c r="P14" s="86"/>
      <c r="Q14" s="67">
        <f t="shared" si="0"/>
        <v>0</v>
      </c>
      <c r="R14" s="67">
        <f t="shared" si="1"/>
        <v>0</v>
      </c>
      <c r="S14" s="86"/>
      <c r="T14" s="86"/>
      <c r="U14" s="86"/>
      <c r="V14" s="86"/>
      <c r="W14" s="66">
        <f t="shared" si="2"/>
        <v>0</v>
      </c>
      <c r="X14" s="97"/>
      <c r="Y14" s="68">
        <f t="shared" si="3"/>
        <v>0</v>
      </c>
      <c r="Z14" s="68">
        <f t="shared" si="4"/>
        <v>0</v>
      </c>
      <c r="AA14" s="72"/>
      <c r="AB14" s="68">
        <f t="shared" si="7"/>
        <v>0</v>
      </c>
      <c r="AC14" s="68">
        <f t="shared" si="8"/>
        <v>0</v>
      </c>
      <c r="AD14" s="68"/>
      <c r="AE14" s="55"/>
      <c r="AF14" s="69">
        <f t="shared" si="5"/>
        <v>0</v>
      </c>
      <c r="AG14" s="86"/>
      <c r="AH14" s="108"/>
      <c r="AI14" s="108"/>
      <c r="AJ14" s="108"/>
      <c r="AK14" s="70">
        <f t="shared" si="6"/>
        <v>0</v>
      </c>
      <c r="AL14" s="71"/>
      <c r="AM14" s="48"/>
      <c r="AN14" s="5"/>
      <c r="AO14" s="5"/>
      <c r="AP14" s="5"/>
      <c r="AQ14" s="5"/>
      <c r="AR14" s="7"/>
      <c r="AS14" s="7"/>
      <c r="AT14" s="7"/>
      <c r="AU14" s="7"/>
      <c r="AV14" s="7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</row>
    <row r="15" spans="1:115" ht="15" customHeight="1" x14ac:dyDescent="0.3">
      <c r="A15" s="65"/>
      <c r="B15" s="109"/>
      <c r="C15" s="110"/>
      <c r="D15" s="110"/>
      <c r="E15" s="111"/>
      <c r="F15" s="85"/>
      <c r="G15" s="86"/>
      <c r="H15" s="86"/>
      <c r="I15" s="86"/>
      <c r="J15" s="86"/>
      <c r="K15" s="86"/>
      <c r="L15" s="86"/>
      <c r="M15" s="86"/>
      <c r="N15" s="86"/>
      <c r="O15" s="86"/>
      <c r="P15" s="86"/>
      <c r="Q15" s="67">
        <f t="shared" si="0"/>
        <v>0</v>
      </c>
      <c r="R15" s="67">
        <f t="shared" si="1"/>
        <v>0</v>
      </c>
      <c r="S15" s="86"/>
      <c r="T15" s="86"/>
      <c r="U15" s="86"/>
      <c r="V15" s="86"/>
      <c r="W15" s="66">
        <f t="shared" si="2"/>
        <v>0</v>
      </c>
      <c r="X15" s="97"/>
      <c r="Y15" s="68">
        <f t="shared" si="3"/>
        <v>0</v>
      </c>
      <c r="Z15" s="68">
        <f t="shared" si="4"/>
        <v>0</v>
      </c>
      <c r="AA15" s="72"/>
      <c r="AB15" s="68">
        <f t="shared" si="7"/>
        <v>0</v>
      </c>
      <c r="AC15" s="68">
        <f t="shared" si="8"/>
        <v>0</v>
      </c>
      <c r="AD15" s="68"/>
      <c r="AE15" s="55"/>
      <c r="AF15" s="69">
        <f t="shared" si="5"/>
        <v>0</v>
      </c>
      <c r="AG15" s="86"/>
      <c r="AH15" s="108"/>
      <c r="AI15" s="108"/>
      <c r="AJ15" s="108"/>
      <c r="AK15" s="70">
        <f t="shared" si="6"/>
        <v>0</v>
      </c>
      <c r="AL15" s="71"/>
      <c r="AM15" s="48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</row>
    <row r="16" spans="1:115" s="74" customFormat="1" ht="15" customHeight="1" x14ac:dyDescent="0.3">
      <c r="A16" s="65"/>
      <c r="B16" s="109"/>
      <c r="C16" s="110"/>
      <c r="D16" s="110"/>
      <c r="E16" s="111"/>
      <c r="F16" s="93"/>
      <c r="G16" s="86"/>
      <c r="H16" s="86"/>
      <c r="I16" s="86"/>
      <c r="J16" s="86"/>
      <c r="K16" s="86"/>
      <c r="L16" s="86"/>
      <c r="M16" s="86"/>
      <c r="N16" s="86"/>
      <c r="O16" s="86"/>
      <c r="P16" s="87"/>
      <c r="Q16" s="67">
        <f t="shared" si="0"/>
        <v>0</v>
      </c>
      <c r="R16" s="67">
        <f t="shared" si="1"/>
        <v>0</v>
      </c>
      <c r="S16" s="86"/>
      <c r="T16" s="86"/>
      <c r="U16" s="86"/>
      <c r="V16" s="86"/>
      <c r="W16" s="66">
        <f t="shared" si="2"/>
        <v>0</v>
      </c>
      <c r="X16" s="99"/>
      <c r="Y16" s="68">
        <f t="shared" si="3"/>
        <v>0</v>
      </c>
      <c r="Z16" s="68">
        <f t="shared" si="4"/>
        <v>0</v>
      </c>
      <c r="AA16" s="72"/>
      <c r="AB16" s="68">
        <f t="shared" si="7"/>
        <v>0</v>
      </c>
      <c r="AC16" s="68">
        <f t="shared" si="8"/>
        <v>0</v>
      </c>
      <c r="AD16" s="68"/>
      <c r="AE16" s="55"/>
      <c r="AF16" s="69">
        <f t="shared" si="5"/>
        <v>0</v>
      </c>
      <c r="AG16" s="86"/>
      <c r="AH16" s="108"/>
      <c r="AI16" s="108"/>
      <c r="AJ16" s="108"/>
      <c r="AK16" s="70">
        <f t="shared" si="6"/>
        <v>0</v>
      </c>
      <c r="AL16" s="71"/>
      <c r="AM16" s="48"/>
      <c r="AN16" s="5"/>
      <c r="AO16" s="5"/>
      <c r="AP16" s="5"/>
      <c r="AQ16" s="5"/>
      <c r="AR16" s="7"/>
      <c r="AS16" s="7"/>
      <c r="AT16" s="7"/>
      <c r="AU16" s="7"/>
      <c r="AV16" s="7"/>
      <c r="AW16"/>
      <c r="AX16"/>
      <c r="AY16"/>
      <c r="AZ16"/>
      <c r="BA16"/>
      <c r="BB16"/>
      <c r="BC16"/>
      <c r="BD16"/>
      <c r="BE16"/>
      <c r="BF16"/>
      <c r="BG16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</row>
    <row r="17" spans="1:115" ht="15" customHeight="1" x14ac:dyDescent="0.3">
      <c r="A17" s="65"/>
      <c r="B17" s="109"/>
      <c r="C17" s="110"/>
      <c r="D17" s="110"/>
      <c r="E17" s="111"/>
      <c r="F17" s="85"/>
      <c r="G17" s="86"/>
      <c r="H17" s="86"/>
      <c r="I17" s="86"/>
      <c r="J17" s="86"/>
      <c r="K17" s="86"/>
      <c r="L17" s="86"/>
      <c r="M17" s="86"/>
      <c r="N17" s="86"/>
      <c r="O17" s="86"/>
      <c r="P17" s="87"/>
      <c r="Q17" s="67">
        <f t="shared" si="0"/>
        <v>0</v>
      </c>
      <c r="R17" s="67">
        <f t="shared" si="1"/>
        <v>0</v>
      </c>
      <c r="S17" s="86"/>
      <c r="T17" s="86"/>
      <c r="U17" s="86"/>
      <c r="V17" s="86"/>
      <c r="W17" s="66">
        <f>G17+I17+K17+M17+O17+R17+S17+T17+U17+V17</f>
        <v>0</v>
      </c>
      <c r="X17" s="100"/>
      <c r="Y17" s="68">
        <f t="shared" si="3"/>
        <v>0</v>
      </c>
      <c r="Z17" s="68">
        <f t="shared" si="4"/>
        <v>0</v>
      </c>
      <c r="AA17" s="72"/>
      <c r="AB17" s="68">
        <f t="shared" si="7"/>
        <v>0</v>
      </c>
      <c r="AC17" s="68">
        <f t="shared" si="8"/>
        <v>0</v>
      </c>
      <c r="AD17" s="68"/>
      <c r="AE17" s="55"/>
      <c r="AF17" s="69">
        <f t="shared" si="5"/>
        <v>0</v>
      </c>
      <c r="AG17" s="86"/>
      <c r="AH17" s="108"/>
      <c r="AI17" s="108"/>
      <c r="AJ17" s="108"/>
      <c r="AK17" s="70">
        <f t="shared" si="6"/>
        <v>0</v>
      </c>
      <c r="AL17" s="71"/>
      <c r="AM17" s="48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</row>
    <row r="18" spans="1:115" ht="15" customHeight="1" x14ac:dyDescent="0.3">
      <c r="A18" s="65"/>
      <c r="B18" s="109"/>
      <c r="C18" s="110"/>
      <c r="D18" s="110"/>
      <c r="E18" s="111"/>
      <c r="F18" s="88"/>
      <c r="G18" s="86"/>
      <c r="H18" s="86"/>
      <c r="I18" s="86"/>
      <c r="J18" s="86"/>
      <c r="K18" s="86"/>
      <c r="L18" s="86"/>
      <c r="M18" s="86"/>
      <c r="N18" s="86"/>
      <c r="O18" s="86"/>
      <c r="P18" s="89"/>
      <c r="Q18" s="67">
        <f t="shared" si="0"/>
        <v>0</v>
      </c>
      <c r="R18" s="67">
        <f t="shared" si="1"/>
        <v>0</v>
      </c>
      <c r="S18" s="86"/>
      <c r="T18" s="86"/>
      <c r="U18" s="86"/>
      <c r="V18" s="86"/>
      <c r="W18" s="66">
        <f t="shared" si="2"/>
        <v>0</v>
      </c>
      <c r="X18" s="96"/>
      <c r="Y18" s="68">
        <f t="shared" si="3"/>
        <v>0</v>
      </c>
      <c r="Z18" s="68">
        <f t="shared" si="4"/>
        <v>0</v>
      </c>
      <c r="AA18" s="72"/>
      <c r="AB18" s="68">
        <f t="shared" si="7"/>
        <v>0</v>
      </c>
      <c r="AC18" s="68">
        <f t="shared" si="8"/>
        <v>0</v>
      </c>
      <c r="AD18" s="68"/>
      <c r="AE18" s="55"/>
      <c r="AF18" s="69">
        <f t="shared" si="5"/>
        <v>0</v>
      </c>
      <c r="AG18" s="86"/>
      <c r="AH18" s="108"/>
      <c r="AI18" s="108"/>
      <c r="AJ18" s="108"/>
      <c r="AK18" s="70">
        <f t="shared" si="6"/>
        <v>0</v>
      </c>
      <c r="AL18" s="71"/>
      <c r="AM18" s="48"/>
      <c r="AN18" s="5"/>
      <c r="AO18" s="5"/>
      <c r="AP18" s="5"/>
      <c r="AQ18" s="5"/>
      <c r="AR18" s="7"/>
      <c r="AS18" s="7"/>
      <c r="AT18" s="7"/>
      <c r="AU18" s="7"/>
      <c r="AV18" s="7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</row>
    <row r="19" spans="1:115" ht="15" customHeight="1" x14ac:dyDescent="0.3">
      <c r="A19" s="65"/>
      <c r="B19" s="109"/>
      <c r="C19" s="110"/>
      <c r="D19" s="110"/>
      <c r="E19" s="111"/>
      <c r="F19" s="88" t="s">
        <v>51</v>
      </c>
      <c r="G19" s="86"/>
      <c r="H19" s="86"/>
      <c r="I19" s="86"/>
      <c r="J19" s="86"/>
      <c r="K19" s="86"/>
      <c r="L19" s="86"/>
      <c r="M19" s="86"/>
      <c r="N19" s="86"/>
      <c r="O19" s="86"/>
      <c r="P19" s="86"/>
      <c r="Q19" s="67">
        <f t="shared" si="0"/>
        <v>0</v>
      </c>
      <c r="R19" s="67">
        <f t="shared" si="1"/>
        <v>0</v>
      </c>
      <c r="S19" s="86"/>
      <c r="T19" s="86"/>
      <c r="U19" s="86"/>
      <c r="V19" s="86"/>
      <c r="W19" s="66">
        <f t="shared" si="2"/>
        <v>0</v>
      </c>
      <c r="X19" s="97"/>
      <c r="Y19" s="68">
        <f t="shared" si="3"/>
        <v>0</v>
      </c>
      <c r="Z19" s="68">
        <f t="shared" si="4"/>
        <v>0</v>
      </c>
      <c r="AA19" s="72"/>
      <c r="AB19" s="68">
        <f t="shared" si="7"/>
        <v>0</v>
      </c>
      <c r="AC19" s="68">
        <f t="shared" si="8"/>
        <v>0</v>
      </c>
      <c r="AD19" s="68"/>
      <c r="AE19" s="55"/>
      <c r="AF19" s="69">
        <f t="shared" si="5"/>
        <v>0</v>
      </c>
      <c r="AG19" s="86"/>
      <c r="AH19" s="108"/>
      <c r="AI19" s="108"/>
      <c r="AJ19" s="108"/>
      <c r="AK19" s="70">
        <f t="shared" si="6"/>
        <v>0</v>
      </c>
      <c r="AL19" s="71"/>
      <c r="AM19" s="48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</row>
    <row r="20" spans="1:115" ht="15" customHeight="1" x14ac:dyDescent="0.3">
      <c r="A20" s="65"/>
      <c r="B20" s="109"/>
      <c r="C20" s="110"/>
      <c r="D20" s="110"/>
      <c r="E20" s="111"/>
      <c r="F20" s="85"/>
      <c r="G20" s="86"/>
      <c r="H20" s="86"/>
      <c r="I20" s="86"/>
      <c r="J20" s="86"/>
      <c r="K20" s="86"/>
      <c r="L20" s="86"/>
      <c r="M20" s="86"/>
      <c r="N20" s="86"/>
      <c r="O20" s="86"/>
      <c r="P20" s="86"/>
      <c r="Q20" s="67">
        <f t="shared" si="0"/>
        <v>0</v>
      </c>
      <c r="R20" s="67">
        <f t="shared" si="1"/>
        <v>0</v>
      </c>
      <c r="S20" s="86"/>
      <c r="T20" s="86"/>
      <c r="U20" s="86"/>
      <c r="V20" s="86"/>
      <c r="W20" s="66">
        <f t="shared" si="2"/>
        <v>0</v>
      </c>
      <c r="X20" s="98"/>
      <c r="Y20" s="68">
        <f t="shared" si="3"/>
        <v>0</v>
      </c>
      <c r="Z20" s="68">
        <f t="shared" si="4"/>
        <v>0</v>
      </c>
      <c r="AA20" s="72"/>
      <c r="AB20" s="68">
        <f t="shared" si="7"/>
        <v>0</v>
      </c>
      <c r="AC20" s="68">
        <f t="shared" si="8"/>
        <v>0</v>
      </c>
      <c r="AD20" s="68"/>
      <c r="AE20" s="55"/>
      <c r="AF20" s="69">
        <f t="shared" si="5"/>
        <v>0</v>
      </c>
      <c r="AG20" s="86"/>
      <c r="AH20" s="108"/>
      <c r="AI20" s="108"/>
      <c r="AJ20" s="108"/>
      <c r="AK20" s="70">
        <f t="shared" si="6"/>
        <v>0</v>
      </c>
      <c r="AL20" s="71"/>
      <c r="AM20" s="48"/>
      <c r="AN20" s="5"/>
      <c r="AO20" s="5"/>
      <c r="AP20" s="5"/>
      <c r="AQ20" s="5"/>
      <c r="AR20" s="7"/>
      <c r="AS20" s="7"/>
      <c r="AT20" s="7"/>
      <c r="AU20" s="7"/>
      <c r="AV20" s="7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</row>
    <row r="21" spans="1:115" s="42" customFormat="1" ht="15" customHeight="1" x14ac:dyDescent="0.3">
      <c r="A21" s="65"/>
      <c r="B21" s="109"/>
      <c r="C21" s="110"/>
      <c r="D21" s="110"/>
      <c r="E21" s="111"/>
      <c r="F21" s="85"/>
      <c r="G21" s="86"/>
      <c r="H21" s="86"/>
      <c r="I21" s="86"/>
      <c r="J21" s="86"/>
      <c r="K21" s="86"/>
      <c r="L21" s="86"/>
      <c r="M21" s="86"/>
      <c r="N21" s="86"/>
      <c r="O21" s="86"/>
      <c r="P21" s="87"/>
      <c r="Q21" s="67">
        <f t="shared" si="0"/>
        <v>0</v>
      </c>
      <c r="R21" s="67">
        <f t="shared" si="1"/>
        <v>0</v>
      </c>
      <c r="S21" s="86"/>
      <c r="T21" s="86"/>
      <c r="U21" s="86"/>
      <c r="V21" s="86"/>
      <c r="W21" s="66">
        <f t="shared" si="2"/>
        <v>0</v>
      </c>
      <c r="X21" s="99"/>
      <c r="Y21" s="68">
        <f t="shared" si="3"/>
        <v>0</v>
      </c>
      <c r="Z21" s="68">
        <f t="shared" si="4"/>
        <v>0</v>
      </c>
      <c r="AA21" s="72"/>
      <c r="AB21" s="68">
        <f t="shared" si="7"/>
        <v>0</v>
      </c>
      <c r="AC21" s="68">
        <f t="shared" si="8"/>
        <v>0</v>
      </c>
      <c r="AD21" s="68"/>
      <c r="AE21" s="55"/>
      <c r="AF21" s="69">
        <f t="shared" si="5"/>
        <v>0</v>
      </c>
      <c r="AG21" s="86"/>
      <c r="AH21" s="108"/>
      <c r="AI21" s="108"/>
      <c r="AJ21" s="108"/>
      <c r="AK21" s="70">
        <f t="shared" si="6"/>
        <v>0</v>
      </c>
      <c r="AL21" s="71"/>
      <c r="AM21" s="48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</row>
    <row r="22" spans="1:115" ht="15" customHeight="1" x14ac:dyDescent="0.3">
      <c r="A22" s="65"/>
      <c r="B22" s="109"/>
      <c r="C22" s="110"/>
      <c r="D22" s="110"/>
      <c r="E22" s="111"/>
      <c r="F22" s="85"/>
      <c r="G22" s="86"/>
      <c r="H22" s="86"/>
      <c r="I22" s="86"/>
      <c r="J22" s="86"/>
      <c r="K22" s="86"/>
      <c r="L22" s="86"/>
      <c r="M22" s="86"/>
      <c r="N22" s="86"/>
      <c r="O22" s="86"/>
      <c r="P22" s="86"/>
      <c r="Q22" s="67">
        <f t="shared" si="0"/>
        <v>0</v>
      </c>
      <c r="R22" s="67">
        <f t="shared" si="1"/>
        <v>0</v>
      </c>
      <c r="S22" s="86"/>
      <c r="T22" s="86"/>
      <c r="U22" s="86"/>
      <c r="V22" s="86"/>
      <c r="W22" s="66">
        <f t="shared" si="2"/>
        <v>0</v>
      </c>
      <c r="X22" s="98"/>
      <c r="Y22" s="68">
        <f t="shared" si="3"/>
        <v>0</v>
      </c>
      <c r="Z22" s="68">
        <f t="shared" si="4"/>
        <v>0</v>
      </c>
      <c r="AA22" s="72"/>
      <c r="AB22" s="68">
        <f t="shared" si="7"/>
        <v>0</v>
      </c>
      <c r="AC22" s="68">
        <f t="shared" si="8"/>
        <v>0</v>
      </c>
      <c r="AD22" s="68"/>
      <c r="AE22" s="55"/>
      <c r="AF22" s="69">
        <f t="shared" si="5"/>
        <v>0</v>
      </c>
      <c r="AG22" s="86"/>
      <c r="AH22" s="108"/>
      <c r="AI22" s="108"/>
      <c r="AJ22" s="108"/>
      <c r="AK22" s="70">
        <f t="shared" si="6"/>
        <v>0</v>
      </c>
      <c r="AL22" s="71"/>
      <c r="AM22" s="48"/>
      <c r="AN22" s="5"/>
      <c r="AO22" s="5"/>
      <c r="AP22" s="5"/>
      <c r="AQ22" s="5"/>
      <c r="AR22" s="7"/>
      <c r="AS22" s="7"/>
      <c r="AT22" s="7"/>
      <c r="AU22" s="7"/>
      <c r="AV22" s="7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</row>
    <row r="23" spans="1:115" ht="15" customHeight="1" x14ac:dyDescent="0.3">
      <c r="A23" s="65"/>
      <c r="B23" s="109"/>
      <c r="C23" s="110"/>
      <c r="D23" s="110"/>
      <c r="E23" s="111"/>
      <c r="F23" s="85"/>
      <c r="G23" s="86"/>
      <c r="H23" s="86"/>
      <c r="I23" s="86"/>
      <c r="J23" s="86"/>
      <c r="K23" s="86"/>
      <c r="L23" s="86"/>
      <c r="M23" s="86"/>
      <c r="N23" s="86"/>
      <c r="O23" s="86"/>
      <c r="P23" s="86"/>
      <c r="Q23" s="67">
        <f t="shared" si="0"/>
        <v>0</v>
      </c>
      <c r="R23" s="67">
        <f t="shared" si="1"/>
        <v>0</v>
      </c>
      <c r="S23" s="86"/>
      <c r="T23" s="86"/>
      <c r="U23" s="86"/>
      <c r="V23" s="86"/>
      <c r="W23" s="66">
        <f t="shared" si="2"/>
        <v>0</v>
      </c>
      <c r="X23" s="98"/>
      <c r="Y23" s="68">
        <f t="shared" si="3"/>
        <v>0</v>
      </c>
      <c r="Z23" s="68">
        <f t="shared" si="4"/>
        <v>0</v>
      </c>
      <c r="AA23" s="72"/>
      <c r="AB23" s="68">
        <f t="shared" si="7"/>
        <v>0</v>
      </c>
      <c r="AC23" s="68">
        <f t="shared" si="8"/>
        <v>0</v>
      </c>
      <c r="AD23" s="68"/>
      <c r="AE23" s="55"/>
      <c r="AF23" s="69">
        <f t="shared" si="5"/>
        <v>0</v>
      </c>
      <c r="AG23" s="86"/>
      <c r="AH23" s="108"/>
      <c r="AI23" s="108"/>
      <c r="AJ23" s="108"/>
      <c r="AK23" s="70">
        <f t="shared" si="6"/>
        <v>0</v>
      </c>
      <c r="AL23" s="71"/>
      <c r="AM23" s="48"/>
      <c r="AN23" s="5"/>
      <c r="AO23" s="5"/>
      <c r="AP23" s="5"/>
      <c r="AQ23" s="5"/>
      <c r="AR23" s="7"/>
      <c r="AS23" s="7"/>
      <c r="AT23" s="7"/>
      <c r="AU23" s="7"/>
      <c r="AV23" s="7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</row>
    <row r="24" spans="1:115" ht="15" customHeight="1" x14ac:dyDescent="0.3">
      <c r="A24" s="65"/>
      <c r="B24" s="109"/>
      <c r="C24" s="110"/>
      <c r="D24" s="110"/>
      <c r="E24" s="111"/>
      <c r="F24" s="85"/>
      <c r="G24" s="86"/>
      <c r="H24" s="86"/>
      <c r="I24" s="86"/>
      <c r="J24" s="86"/>
      <c r="K24" s="86"/>
      <c r="L24" s="86"/>
      <c r="M24" s="86"/>
      <c r="N24" s="86"/>
      <c r="O24" s="86"/>
      <c r="P24" s="86"/>
      <c r="Q24" s="67">
        <f t="shared" si="0"/>
        <v>0</v>
      </c>
      <c r="R24" s="67">
        <f t="shared" si="1"/>
        <v>0</v>
      </c>
      <c r="S24" s="86"/>
      <c r="T24" s="86"/>
      <c r="U24" s="86"/>
      <c r="V24" s="86"/>
      <c r="W24" s="66">
        <f t="shared" si="2"/>
        <v>0</v>
      </c>
      <c r="X24" s="98"/>
      <c r="Y24" s="68">
        <f t="shared" si="3"/>
        <v>0</v>
      </c>
      <c r="Z24" s="68">
        <f t="shared" si="4"/>
        <v>0</v>
      </c>
      <c r="AA24" s="72"/>
      <c r="AB24" s="68">
        <f t="shared" si="7"/>
        <v>0</v>
      </c>
      <c r="AC24" s="68">
        <f t="shared" si="8"/>
        <v>0</v>
      </c>
      <c r="AD24" s="68"/>
      <c r="AE24" s="55"/>
      <c r="AF24" s="69">
        <f t="shared" si="5"/>
        <v>0</v>
      </c>
      <c r="AG24" s="86"/>
      <c r="AH24" s="108"/>
      <c r="AI24" s="108"/>
      <c r="AJ24" s="108"/>
      <c r="AK24" s="70">
        <f t="shared" si="6"/>
        <v>0</v>
      </c>
      <c r="AL24" s="71"/>
      <c r="AM24" s="48"/>
      <c r="AN24" s="5"/>
      <c r="AO24" s="5"/>
      <c r="AP24" s="5"/>
      <c r="AQ24" s="5"/>
      <c r="AR24" s="7"/>
      <c r="AS24" s="7"/>
      <c r="AT24" s="7"/>
      <c r="AU24" s="7"/>
      <c r="AV24" s="7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</row>
    <row r="25" spans="1:115" ht="15" customHeight="1" x14ac:dyDescent="0.3">
      <c r="A25" s="65"/>
      <c r="B25" s="109"/>
      <c r="C25" s="110"/>
      <c r="D25" s="110"/>
      <c r="E25" s="111"/>
      <c r="F25" s="85"/>
      <c r="G25" s="86"/>
      <c r="H25" s="86"/>
      <c r="I25" s="86"/>
      <c r="J25" s="86"/>
      <c r="K25" s="86"/>
      <c r="L25" s="86"/>
      <c r="M25" s="86"/>
      <c r="N25" s="86"/>
      <c r="O25" s="86"/>
      <c r="P25" s="86"/>
      <c r="Q25" s="67">
        <f t="shared" si="0"/>
        <v>0</v>
      </c>
      <c r="R25" s="67">
        <f t="shared" si="1"/>
        <v>0</v>
      </c>
      <c r="S25" s="86"/>
      <c r="T25" s="86"/>
      <c r="U25" s="86"/>
      <c r="V25" s="86"/>
      <c r="W25" s="66">
        <f t="shared" si="2"/>
        <v>0</v>
      </c>
      <c r="X25" s="98"/>
      <c r="Y25" s="68">
        <f t="shared" si="3"/>
        <v>0</v>
      </c>
      <c r="Z25" s="68">
        <f t="shared" si="4"/>
        <v>0</v>
      </c>
      <c r="AA25" s="72"/>
      <c r="AB25" s="68">
        <f t="shared" si="7"/>
        <v>0</v>
      </c>
      <c r="AC25" s="68">
        <f t="shared" si="8"/>
        <v>0</v>
      </c>
      <c r="AD25" s="68"/>
      <c r="AE25" s="55"/>
      <c r="AF25" s="69">
        <f t="shared" si="5"/>
        <v>0</v>
      </c>
      <c r="AG25" s="86"/>
      <c r="AH25" s="108"/>
      <c r="AI25" s="108"/>
      <c r="AJ25" s="108"/>
      <c r="AK25" s="70">
        <f t="shared" si="6"/>
        <v>0</v>
      </c>
      <c r="AL25" s="71"/>
      <c r="AM25" s="48"/>
      <c r="AN25" s="5"/>
      <c r="AO25" s="5"/>
      <c r="AP25" s="5"/>
      <c r="AQ25" s="5"/>
      <c r="AR25" s="7"/>
      <c r="AS25" s="7"/>
      <c r="AT25" s="7"/>
      <c r="AU25" s="7"/>
      <c r="AV25" s="7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</row>
    <row r="26" spans="1:115" ht="15" customHeight="1" x14ac:dyDescent="0.3">
      <c r="A26" s="65"/>
      <c r="B26" s="109"/>
      <c r="C26" s="110"/>
      <c r="D26" s="110"/>
      <c r="E26" s="111"/>
      <c r="F26" s="85"/>
      <c r="G26" s="86"/>
      <c r="H26" s="86"/>
      <c r="I26" s="86"/>
      <c r="J26" s="86"/>
      <c r="K26" s="86"/>
      <c r="L26" s="86"/>
      <c r="M26" s="86"/>
      <c r="N26" s="86"/>
      <c r="O26" s="86"/>
      <c r="P26" s="86"/>
      <c r="Q26" s="67">
        <f t="shared" si="0"/>
        <v>0</v>
      </c>
      <c r="R26" s="67">
        <f t="shared" si="1"/>
        <v>0</v>
      </c>
      <c r="S26" s="86"/>
      <c r="T26" s="86"/>
      <c r="U26" s="86"/>
      <c r="V26" s="86"/>
      <c r="W26" s="66">
        <f t="shared" si="2"/>
        <v>0</v>
      </c>
      <c r="X26" s="98"/>
      <c r="Y26" s="68">
        <f t="shared" si="3"/>
        <v>0</v>
      </c>
      <c r="Z26" s="68">
        <f t="shared" si="4"/>
        <v>0</v>
      </c>
      <c r="AA26" s="72"/>
      <c r="AB26" s="68">
        <f t="shared" si="7"/>
        <v>0</v>
      </c>
      <c r="AC26" s="68">
        <f t="shared" si="8"/>
        <v>0</v>
      </c>
      <c r="AD26" s="68"/>
      <c r="AE26" s="55"/>
      <c r="AF26" s="69">
        <f t="shared" si="5"/>
        <v>0</v>
      </c>
      <c r="AG26" s="86"/>
      <c r="AH26" s="108"/>
      <c r="AI26" s="108"/>
      <c r="AJ26" s="108"/>
      <c r="AK26" s="70">
        <f t="shared" si="6"/>
        <v>0</v>
      </c>
      <c r="AL26" s="71"/>
      <c r="AM26" s="48"/>
      <c r="AN26" s="5"/>
      <c r="AO26" s="5"/>
      <c r="AP26" s="5"/>
      <c r="AQ26" s="5"/>
      <c r="AR26" s="7"/>
      <c r="AS26" s="7"/>
      <c r="AT26" s="7"/>
      <c r="AU26" s="7"/>
      <c r="AV26" s="7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</row>
    <row r="27" spans="1:115" ht="15" customHeight="1" x14ac:dyDescent="0.3">
      <c r="A27" s="65"/>
      <c r="B27" s="109"/>
      <c r="C27" s="110"/>
      <c r="D27" s="110"/>
      <c r="E27" s="111"/>
      <c r="F27" s="85"/>
      <c r="G27" s="86"/>
      <c r="H27" s="86"/>
      <c r="I27" s="86"/>
      <c r="J27" s="86"/>
      <c r="K27" s="86"/>
      <c r="L27" s="86"/>
      <c r="M27" s="86"/>
      <c r="N27" s="86"/>
      <c r="O27" s="86"/>
      <c r="P27" s="86"/>
      <c r="Q27" s="67">
        <f t="shared" si="0"/>
        <v>0</v>
      </c>
      <c r="R27" s="67">
        <f t="shared" si="1"/>
        <v>0</v>
      </c>
      <c r="S27" s="86"/>
      <c r="T27" s="86"/>
      <c r="U27" s="86"/>
      <c r="V27" s="86"/>
      <c r="W27" s="66">
        <f t="shared" si="2"/>
        <v>0</v>
      </c>
      <c r="X27" s="98"/>
      <c r="Y27" s="68">
        <f t="shared" si="3"/>
        <v>0</v>
      </c>
      <c r="Z27" s="68">
        <f t="shared" si="4"/>
        <v>0</v>
      </c>
      <c r="AA27" s="72"/>
      <c r="AB27" s="68">
        <f t="shared" si="7"/>
        <v>0</v>
      </c>
      <c r="AC27" s="68">
        <f t="shared" si="8"/>
        <v>0</v>
      </c>
      <c r="AD27" s="68"/>
      <c r="AE27" s="55"/>
      <c r="AF27" s="69">
        <f t="shared" si="5"/>
        <v>0</v>
      </c>
      <c r="AG27" s="86"/>
      <c r="AH27" s="108"/>
      <c r="AI27" s="108"/>
      <c r="AJ27" s="108"/>
      <c r="AK27" s="70">
        <f t="shared" si="6"/>
        <v>0</v>
      </c>
      <c r="AL27" s="71"/>
      <c r="AM27" s="48"/>
      <c r="AN27" s="5"/>
      <c r="AO27" s="5"/>
      <c r="AP27" s="5"/>
      <c r="AQ27" s="5"/>
      <c r="AR27" s="7"/>
      <c r="AS27" s="7"/>
      <c r="AT27" s="7"/>
      <c r="AU27" s="7"/>
      <c r="AV27" s="7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</row>
    <row r="28" spans="1:115" ht="15" customHeight="1" x14ac:dyDescent="0.3">
      <c r="A28" s="65"/>
      <c r="B28" s="109"/>
      <c r="C28" s="110"/>
      <c r="D28" s="110"/>
      <c r="E28" s="111"/>
      <c r="F28" s="85"/>
      <c r="G28" s="86"/>
      <c r="H28" s="86"/>
      <c r="I28" s="86"/>
      <c r="J28" s="86"/>
      <c r="K28" s="86"/>
      <c r="L28" s="86"/>
      <c r="M28" s="86"/>
      <c r="N28" s="86"/>
      <c r="O28" s="86"/>
      <c r="P28" s="86"/>
      <c r="Q28" s="67">
        <f t="shared" si="0"/>
        <v>0</v>
      </c>
      <c r="R28" s="67">
        <f t="shared" si="1"/>
        <v>0</v>
      </c>
      <c r="S28" s="86"/>
      <c r="T28" s="86"/>
      <c r="U28" s="86"/>
      <c r="V28" s="86"/>
      <c r="W28" s="66">
        <f t="shared" si="2"/>
        <v>0</v>
      </c>
      <c r="X28" s="98"/>
      <c r="Y28" s="68">
        <f t="shared" si="3"/>
        <v>0</v>
      </c>
      <c r="Z28" s="68">
        <f t="shared" si="4"/>
        <v>0</v>
      </c>
      <c r="AA28" s="72"/>
      <c r="AB28" s="68">
        <f t="shared" si="7"/>
        <v>0</v>
      </c>
      <c r="AC28" s="68">
        <f t="shared" si="8"/>
        <v>0</v>
      </c>
      <c r="AD28" s="68"/>
      <c r="AE28" s="55"/>
      <c r="AF28" s="69">
        <f t="shared" si="5"/>
        <v>0</v>
      </c>
      <c r="AG28" s="86"/>
      <c r="AH28" s="108"/>
      <c r="AI28" s="108"/>
      <c r="AJ28" s="108"/>
      <c r="AK28" s="70">
        <f t="shared" si="6"/>
        <v>0</v>
      </c>
      <c r="AL28" s="71"/>
      <c r="AM28" s="48"/>
      <c r="AN28" s="5"/>
      <c r="AO28" s="5"/>
      <c r="AP28" s="5"/>
      <c r="AQ28" s="5"/>
      <c r="AR28" s="7"/>
      <c r="AS28" s="7"/>
      <c r="AT28" s="7"/>
      <c r="AU28" s="7"/>
      <c r="AV28" s="7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</row>
    <row r="29" spans="1:115" ht="15" customHeight="1" x14ac:dyDescent="0.3">
      <c r="A29" s="65"/>
      <c r="B29" s="109"/>
      <c r="C29" s="110"/>
      <c r="D29" s="110"/>
      <c r="E29" s="111"/>
      <c r="F29" s="85"/>
      <c r="G29" s="86"/>
      <c r="H29" s="86"/>
      <c r="I29" s="86"/>
      <c r="J29" s="86"/>
      <c r="K29" s="86"/>
      <c r="L29" s="86"/>
      <c r="M29" s="86"/>
      <c r="N29" s="86"/>
      <c r="O29" s="86"/>
      <c r="P29" s="86"/>
      <c r="Q29" s="67">
        <f t="shared" si="0"/>
        <v>0</v>
      </c>
      <c r="R29" s="67">
        <f t="shared" si="1"/>
        <v>0</v>
      </c>
      <c r="S29" s="86"/>
      <c r="T29" s="86"/>
      <c r="U29" s="86"/>
      <c r="V29" s="86"/>
      <c r="W29" s="66">
        <f t="shared" si="2"/>
        <v>0</v>
      </c>
      <c r="X29" s="98"/>
      <c r="Y29" s="68">
        <f t="shared" si="3"/>
        <v>0</v>
      </c>
      <c r="Z29" s="68">
        <f t="shared" si="4"/>
        <v>0</v>
      </c>
      <c r="AA29" s="72"/>
      <c r="AB29" s="68">
        <f t="shared" si="7"/>
        <v>0</v>
      </c>
      <c r="AC29" s="68">
        <f t="shared" si="8"/>
        <v>0</v>
      </c>
      <c r="AD29" s="68"/>
      <c r="AE29" s="55"/>
      <c r="AF29" s="69">
        <f t="shared" si="5"/>
        <v>0</v>
      </c>
      <c r="AG29" s="86"/>
      <c r="AH29" s="108"/>
      <c r="AI29" s="108"/>
      <c r="AJ29" s="108"/>
      <c r="AK29" s="70">
        <f t="shared" si="6"/>
        <v>0</v>
      </c>
      <c r="AL29" s="71"/>
      <c r="AM29" s="48"/>
      <c r="AN29" s="5"/>
      <c r="AO29" s="5"/>
      <c r="AP29" s="5"/>
      <c r="AQ29" s="5"/>
      <c r="AR29" s="7"/>
      <c r="AS29" s="7"/>
      <c r="AT29" s="7"/>
      <c r="AU29" s="7"/>
      <c r="AV29" s="7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</row>
    <row r="30" spans="1:115" ht="15" customHeight="1" x14ac:dyDescent="0.3">
      <c r="A30" s="65"/>
      <c r="B30" s="109"/>
      <c r="C30" s="110"/>
      <c r="D30" s="110"/>
      <c r="E30" s="111"/>
      <c r="F30" s="85"/>
      <c r="G30" s="86"/>
      <c r="H30" s="86"/>
      <c r="I30" s="86"/>
      <c r="J30" s="86"/>
      <c r="K30" s="86"/>
      <c r="L30" s="86"/>
      <c r="M30" s="86"/>
      <c r="N30" s="86"/>
      <c r="O30" s="86"/>
      <c r="P30" s="86"/>
      <c r="Q30" s="67">
        <f t="shared" si="0"/>
        <v>0</v>
      </c>
      <c r="R30" s="67">
        <f t="shared" si="1"/>
        <v>0</v>
      </c>
      <c r="S30" s="86"/>
      <c r="T30" s="86"/>
      <c r="U30" s="86"/>
      <c r="V30" s="86"/>
      <c r="W30" s="66">
        <f t="shared" si="2"/>
        <v>0</v>
      </c>
      <c r="X30" s="98"/>
      <c r="Y30" s="68">
        <f t="shared" si="3"/>
        <v>0</v>
      </c>
      <c r="Z30" s="68">
        <f t="shared" si="4"/>
        <v>0</v>
      </c>
      <c r="AA30" s="72"/>
      <c r="AB30" s="68">
        <f t="shared" si="7"/>
        <v>0</v>
      </c>
      <c r="AC30" s="68">
        <f t="shared" si="8"/>
        <v>0</v>
      </c>
      <c r="AD30" s="68"/>
      <c r="AE30" s="55"/>
      <c r="AF30" s="69">
        <f t="shared" si="5"/>
        <v>0</v>
      </c>
      <c r="AG30" s="86"/>
      <c r="AH30" s="108"/>
      <c r="AI30" s="108"/>
      <c r="AJ30" s="108"/>
      <c r="AK30" s="70">
        <f t="shared" si="6"/>
        <v>0</v>
      </c>
      <c r="AL30" s="71"/>
      <c r="AM30" s="48"/>
      <c r="AN30" s="5"/>
      <c r="AO30" s="5"/>
      <c r="AP30" s="5"/>
      <c r="AQ30" s="5"/>
      <c r="AR30" s="7"/>
      <c r="AS30" s="7"/>
      <c r="AT30" s="7"/>
      <c r="AU30" s="7"/>
      <c r="AV30" s="7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</row>
    <row r="31" spans="1:115" ht="15" customHeight="1" x14ac:dyDescent="0.3">
      <c r="A31" s="65"/>
      <c r="B31" s="109"/>
      <c r="C31" s="110"/>
      <c r="D31" s="110"/>
      <c r="E31" s="111"/>
      <c r="F31" s="85"/>
      <c r="G31" s="86"/>
      <c r="H31" s="86"/>
      <c r="I31" s="86"/>
      <c r="J31" s="86"/>
      <c r="K31" s="86"/>
      <c r="L31" s="86"/>
      <c r="M31" s="86"/>
      <c r="N31" s="86"/>
      <c r="O31" s="86"/>
      <c r="P31" s="86"/>
      <c r="Q31" s="67">
        <f t="shared" si="0"/>
        <v>0</v>
      </c>
      <c r="R31" s="67">
        <f t="shared" si="1"/>
        <v>0</v>
      </c>
      <c r="S31" s="86"/>
      <c r="T31" s="86"/>
      <c r="U31" s="86"/>
      <c r="V31" s="86"/>
      <c r="W31" s="66">
        <f t="shared" si="2"/>
        <v>0</v>
      </c>
      <c r="X31" s="98"/>
      <c r="Y31" s="68">
        <f t="shared" si="3"/>
        <v>0</v>
      </c>
      <c r="Z31" s="68">
        <f t="shared" si="4"/>
        <v>0</v>
      </c>
      <c r="AA31" s="72"/>
      <c r="AB31" s="68">
        <f t="shared" si="7"/>
        <v>0</v>
      </c>
      <c r="AC31" s="68">
        <f t="shared" si="8"/>
        <v>0</v>
      </c>
      <c r="AD31" s="68"/>
      <c r="AE31" s="55"/>
      <c r="AF31" s="69">
        <f t="shared" si="5"/>
        <v>0</v>
      </c>
      <c r="AG31" s="86"/>
      <c r="AH31" s="108"/>
      <c r="AI31" s="108"/>
      <c r="AJ31" s="108"/>
      <c r="AK31" s="70">
        <f t="shared" si="6"/>
        <v>0</v>
      </c>
      <c r="AL31" s="71"/>
      <c r="AM31" s="48"/>
      <c r="AN31" s="5"/>
      <c r="AO31" s="5"/>
      <c r="AP31" s="5"/>
      <c r="AQ31" s="5"/>
      <c r="AR31" s="7"/>
      <c r="AS31" s="7"/>
      <c r="AT31" s="7"/>
      <c r="AU31" s="7"/>
      <c r="AV31" s="7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</row>
    <row r="32" spans="1:115" ht="15" customHeight="1" x14ac:dyDescent="0.3">
      <c r="A32" s="65"/>
      <c r="B32" s="109"/>
      <c r="C32" s="110"/>
      <c r="D32" s="110"/>
      <c r="E32" s="111"/>
      <c r="F32" s="85"/>
      <c r="G32" s="86"/>
      <c r="H32" s="86"/>
      <c r="I32" s="86"/>
      <c r="J32" s="86"/>
      <c r="K32" s="86"/>
      <c r="L32" s="86"/>
      <c r="M32" s="86"/>
      <c r="N32" s="86"/>
      <c r="O32" s="86"/>
      <c r="P32" s="86"/>
      <c r="Q32" s="67">
        <f t="shared" si="0"/>
        <v>0</v>
      </c>
      <c r="R32" s="67">
        <f t="shared" si="1"/>
        <v>0</v>
      </c>
      <c r="S32" s="86"/>
      <c r="T32" s="86"/>
      <c r="U32" s="86"/>
      <c r="V32" s="86"/>
      <c r="W32" s="66">
        <f t="shared" si="2"/>
        <v>0</v>
      </c>
      <c r="X32" s="98"/>
      <c r="Y32" s="68">
        <f t="shared" si="3"/>
        <v>0</v>
      </c>
      <c r="Z32" s="68">
        <f t="shared" si="4"/>
        <v>0</v>
      </c>
      <c r="AA32" s="72"/>
      <c r="AB32" s="68">
        <f t="shared" si="7"/>
        <v>0</v>
      </c>
      <c r="AC32" s="68">
        <f t="shared" si="8"/>
        <v>0</v>
      </c>
      <c r="AD32" s="68"/>
      <c r="AE32" s="55"/>
      <c r="AF32" s="69">
        <f t="shared" si="5"/>
        <v>0</v>
      </c>
      <c r="AG32" s="86"/>
      <c r="AH32" s="108"/>
      <c r="AI32" s="108"/>
      <c r="AJ32" s="108"/>
      <c r="AK32" s="70">
        <f t="shared" si="6"/>
        <v>0</v>
      </c>
      <c r="AL32" s="71"/>
      <c r="AM32" s="48"/>
      <c r="AN32" s="5"/>
      <c r="AO32" s="5"/>
      <c r="AP32" s="5"/>
      <c r="AQ32" s="5"/>
      <c r="AR32" s="7"/>
      <c r="AS32" s="7"/>
      <c r="AT32" s="7"/>
      <c r="AU32" s="7"/>
      <c r="AV32" s="7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</row>
    <row r="33" spans="1:115" ht="15" customHeight="1" x14ac:dyDescent="0.3">
      <c r="A33" s="65"/>
      <c r="B33" s="109"/>
      <c r="C33" s="110"/>
      <c r="D33" s="110"/>
      <c r="E33" s="111"/>
      <c r="F33" s="85"/>
      <c r="G33" s="86"/>
      <c r="H33" s="86"/>
      <c r="I33" s="86"/>
      <c r="J33" s="86"/>
      <c r="K33" s="86"/>
      <c r="L33" s="86"/>
      <c r="M33" s="86"/>
      <c r="N33" s="86"/>
      <c r="O33" s="86"/>
      <c r="P33" s="86"/>
      <c r="Q33" s="67">
        <f t="shared" si="0"/>
        <v>0</v>
      </c>
      <c r="R33" s="67">
        <f t="shared" si="1"/>
        <v>0</v>
      </c>
      <c r="S33" s="86"/>
      <c r="T33" s="86"/>
      <c r="U33" s="86"/>
      <c r="V33" s="86"/>
      <c r="W33" s="66">
        <f t="shared" si="2"/>
        <v>0</v>
      </c>
      <c r="X33" s="98"/>
      <c r="Y33" s="68">
        <f t="shared" si="3"/>
        <v>0</v>
      </c>
      <c r="Z33" s="68">
        <f t="shared" si="4"/>
        <v>0</v>
      </c>
      <c r="AA33" s="72"/>
      <c r="AB33" s="68">
        <f t="shared" si="7"/>
        <v>0</v>
      </c>
      <c r="AC33" s="68">
        <f t="shared" si="8"/>
        <v>0</v>
      </c>
      <c r="AD33" s="68"/>
      <c r="AE33" s="55"/>
      <c r="AF33" s="69">
        <f t="shared" si="5"/>
        <v>0</v>
      </c>
      <c r="AG33" s="86"/>
      <c r="AH33" s="108"/>
      <c r="AI33" s="108"/>
      <c r="AJ33" s="108"/>
      <c r="AK33" s="70">
        <f t="shared" si="6"/>
        <v>0</v>
      </c>
      <c r="AL33" s="71"/>
      <c r="AM33" s="48"/>
      <c r="AN33" s="5"/>
      <c r="AO33" s="5"/>
      <c r="AP33" s="5"/>
      <c r="AQ33" s="5"/>
      <c r="AR33" s="7"/>
      <c r="AS33" s="7"/>
      <c r="AT33" s="7"/>
      <c r="AU33" s="7"/>
      <c r="AV33" s="7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</row>
    <row r="34" spans="1:115" ht="15" customHeight="1" x14ac:dyDescent="0.3">
      <c r="A34" s="65"/>
      <c r="B34" s="109"/>
      <c r="C34" s="110"/>
      <c r="D34" s="110"/>
      <c r="E34" s="111"/>
      <c r="F34" s="85"/>
      <c r="G34" s="86"/>
      <c r="H34" s="86"/>
      <c r="I34" s="86"/>
      <c r="J34" s="86"/>
      <c r="K34" s="86"/>
      <c r="L34" s="86"/>
      <c r="M34" s="86"/>
      <c r="N34" s="86"/>
      <c r="O34" s="86"/>
      <c r="P34" s="86"/>
      <c r="Q34" s="67">
        <f t="shared" si="0"/>
        <v>0</v>
      </c>
      <c r="R34" s="67">
        <f t="shared" si="1"/>
        <v>0</v>
      </c>
      <c r="S34" s="86"/>
      <c r="T34" s="86"/>
      <c r="U34" s="86"/>
      <c r="V34" s="86"/>
      <c r="W34" s="66">
        <f t="shared" si="2"/>
        <v>0</v>
      </c>
      <c r="X34" s="98"/>
      <c r="Y34" s="68">
        <f t="shared" si="3"/>
        <v>0</v>
      </c>
      <c r="Z34" s="68">
        <f t="shared" si="4"/>
        <v>0</v>
      </c>
      <c r="AA34" s="72"/>
      <c r="AB34" s="68">
        <f t="shared" si="7"/>
        <v>0</v>
      </c>
      <c r="AC34" s="68">
        <f t="shared" si="8"/>
        <v>0</v>
      </c>
      <c r="AD34" s="68"/>
      <c r="AE34" s="55"/>
      <c r="AF34" s="69">
        <f t="shared" si="5"/>
        <v>0</v>
      </c>
      <c r="AG34" s="86"/>
      <c r="AH34" s="108"/>
      <c r="AI34" s="108"/>
      <c r="AJ34" s="108"/>
      <c r="AK34" s="70">
        <f t="shared" si="6"/>
        <v>0</v>
      </c>
      <c r="AL34" s="71"/>
      <c r="AM34" s="48"/>
      <c r="AN34" s="5"/>
      <c r="AO34" s="5"/>
      <c r="AP34" s="5"/>
      <c r="AQ34" s="5"/>
      <c r="AR34" s="7"/>
      <c r="AS34" s="7"/>
      <c r="AT34" s="7"/>
      <c r="AU34" s="7"/>
      <c r="AV34" s="7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</row>
    <row r="35" spans="1:115" ht="15" customHeight="1" x14ac:dyDescent="0.3">
      <c r="A35" s="65"/>
      <c r="B35" s="109"/>
      <c r="C35" s="110"/>
      <c r="D35" s="110"/>
      <c r="E35" s="111"/>
      <c r="F35" s="85"/>
      <c r="G35" s="86"/>
      <c r="H35" s="86"/>
      <c r="I35" s="86"/>
      <c r="J35" s="86"/>
      <c r="K35" s="86"/>
      <c r="L35" s="86"/>
      <c r="M35" s="86"/>
      <c r="N35" s="86"/>
      <c r="O35" s="86"/>
      <c r="P35" s="86"/>
      <c r="Q35" s="67">
        <f t="shared" si="0"/>
        <v>0</v>
      </c>
      <c r="R35" s="67">
        <f t="shared" si="1"/>
        <v>0</v>
      </c>
      <c r="S35" s="86"/>
      <c r="T35" s="86"/>
      <c r="U35" s="86"/>
      <c r="V35" s="86"/>
      <c r="W35" s="66">
        <f t="shared" si="2"/>
        <v>0</v>
      </c>
      <c r="X35" s="98"/>
      <c r="Y35" s="68">
        <f t="shared" si="3"/>
        <v>0</v>
      </c>
      <c r="Z35" s="68">
        <f t="shared" si="4"/>
        <v>0</v>
      </c>
      <c r="AA35" s="72"/>
      <c r="AB35" s="68">
        <f t="shared" si="7"/>
        <v>0</v>
      </c>
      <c r="AC35" s="68">
        <f t="shared" si="8"/>
        <v>0</v>
      </c>
      <c r="AD35" s="68"/>
      <c r="AE35" s="55"/>
      <c r="AF35" s="69">
        <f t="shared" si="5"/>
        <v>0</v>
      </c>
      <c r="AG35" s="86"/>
      <c r="AH35" s="108"/>
      <c r="AI35" s="108"/>
      <c r="AJ35" s="108"/>
      <c r="AK35" s="70">
        <f t="shared" si="6"/>
        <v>0</v>
      </c>
      <c r="AL35" s="71"/>
      <c r="AM35" s="48"/>
      <c r="AN35" s="5"/>
      <c r="AO35" s="5"/>
      <c r="AP35" s="5"/>
      <c r="AQ35" s="5"/>
      <c r="AR35" s="7"/>
      <c r="AS35" s="7"/>
      <c r="AT35" s="7"/>
      <c r="AU35" s="7"/>
      <c r="AV35" s="7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</row>
    <row r="36" spans="1:115" ht="15" customHeight="1" x14ac:dyDescent="0.3">
      <c r="A36" s="65"/>
      <c r="B36" s="109"/>
      <c r="C36" s="110"/>
      <c r="D36" s="110"/>
      <c r="E36" s="111"/>
      <c r="F36" s="85"/>
      <c r="G36" s="86"/>
      <c r="H36" s="86"/>
      <c r="I36" s="86"/>
      <c r="J36" s="86"/>
      <c r="K36" s="86"/>
      <c r="L36" s="86"/>
      <c r="M36" s="86"/>
      <c r="N36" s="86"/>
      <c r="O36" s="86"/>
      <c r="P36" s="86"/>
      <c r="Q36" s="67">
        <f t="shared" si="0"/>
        <v>0</v>
      </c>
      <c r="R36" s="67">
        <f t="shared" si="1"/>
        <v>0</v>
      </c>
      <c r="S36" s="86"/>
      <c r="T36" s="86"/>
      <c r="U36" s="86"/>
      <c r="V36" s="86"/>
      <c r="W36" s="66">
        <f t="shared" si="2"/>
        <v>0</v>
      </c>
      <c r="X36" s="98"/>
      <c r="Y36" s="68">
        <f t="shared" si="3"/>
        <v>0</v>
      </c>
      <c r="Z36" s="68">
        <f t="shared" si="4"/>
        <v>0</v>
      </c>
      <c r="AA36" s="72"/>
      <c r="AB36" s="68">
        <f t="shared" si="7"/>
        <v>0</v>
      </c>
      <c r="AC36" s="68">
        <f t="shared" si="8"/>
        <v>0</v>
      </c>
      <c r="AD36" s="68"/>
      <c r="AE36" s="55"/>
      <c r="AF36" s="69">
        <f t="shared" si="5"/>
        <v>0</v>
      </c>
      <c r="AG36" s="86"/>
      <c r="AH36" s="108"/>
      <c r="AI36" s="108"/>
      <c r="AJ36" s="108"/>
      <c r="AK36" s="70">
        <f t="shared" si="6"/>
        <v>0</v>
      </c>
      <c r="AL36" s="71"/>
      <c r="AM36" s="48"/>
      <c r="AN36" s="5"/>
      <c r="AO36" s="5"/>
      <c r="AP36" s="5"/>
      <c r="AQ36" s="5"/>
      <c r="AR36" s="7"/>
      <c r="AS36" s="7"/>
      <c r="AT36" s="7"/>
      <c r="AU36" s="7"/>
      <c r="AV36" s="7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</row>
    <row r="37" spans="1:115" ht="15" customHeight="1" x14ac:dyDescent="0.3">
      <c r="A37" s="65"/>
      <c r="B37" s="109"/>
      <c r="C37" s="110"/>
      <c r="D37" s="110"/>
      <c r="E37" s="111"/>
      <c r="F37" s="85"/>
      <c r="G37" s="86"/>
      <c r="H37" s="86"/>
      <c r="I37" s="86"/>
      <c r="J37" s="86"/>
      <c r="K37" s="86"/>
      <c r="L37" s="86"/>
      <c r="M37" s="86"/>
      <c r="N37" s="86"/>
      <c r="O37" s="86"/>
      <c r="P37" s="86"/>
      <c r="Q37" s="67">
        <f t="shared" si="0"/>
        <v>0</v>
      </c>
      <c r="R37" s="67">
        <f t="shared" si="1"/>
        <v>0</v>
      </c>
      <c r="S37" s="86"/>
      <c r="T37" s="86"/>
      <c r="U37" s="86"/>
      <c r="V37" s="86"/>
      <c r="W37" s="66">
        <f t="shared" si="2"/>
        <v>0</v>
      </c>
      <c r="X37" s="98"/>
      <c r="Y37" s="68">
        <f t="shared" si="3"/>
        <v>0</v>
      </c>
      <c r="Z37" s="68">
        <f t="shared" si="4"/>
        <v>0</v>
      </c>
      <c r="AA37" s="72"/>
      <c r="AB37" s="68">
        <f t="shared" si="7"/>
        <v>0</v>
      </c>
      <c r="AC37" s="68">
        <f t="shared" si="8"/>
        <v>0</v>
      </c>
      <c r="AD37" s="68"/>
      <c r="AE37" s="55"/>
      <c r="AF37" s="69">
        <f t="shared" si="5"/>
        <v>0</v>
      </c>
      <c r="AG37" s="86"/>
      <c r="AH37" s="108"/>
      <c r="AI37" s="108"/>
      <c r="AJ37" s="108"/>
      <c r="AK37" s="70">
        <f t="shared" si="6"/>
        <v>0</v>
      </c>
      <c r="AL37" s="71"/>
      <c r="AM37" s="48"/>
      <c r="AN37" s="5"/>
      <c r="AO37" s="5"/>
      <c r="AP37" s="5"/>
      <c r="AQ37" s="5"/>
      <c r="AR37" s="7"/>
      <c r="AS37" s="7"/>
      <c r="AT37" s="7"/>
      <c r="AU37" s="7"/>
      <c r="AV37" s="7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</row>
    <row r="38" spans="1:115" ht="15" customHeight="1" x14ac:dyDescent="0.3">
      <c r="A38" s="65"/>
      <c r="B38" s="109"/>
      <c r="C38" s="110"/>
      <c r="D38" s="110"/>
      <c r="E38" s="111"/>
      <c r="F38" s="85"/>
      <c r="G38" s="86"/>
      <c r="H38" s="86"/>
      <c r="I38" s="86"/>
      <c r="J38" s="86"/>
      <c r="K38" s="86"/>
      <c r="L38" s="86"/>
      <c r="M38" s="86"/>
      <c r="N38" s="86"/>
      <c r="O38" s="86"/>
      <c r="P38" s="86"/>
      <c r="Q38" s="67">
        <f t="shared" si="0"/>
        <v>0</v>
      </c>
      <c r="R38" s="67">
        <f t="shared" si="1"/>
        <v>0</v>
      </c>
      <c r="S38" s="86"/>
      <c r="T38" s="86"/>
      <c r="U38" s="86"/>
      <c r="V38" s="86"/>
      <c r="W38" s="66">
        <f t="shared" si="2"/>
        <v>0</v>
      </c>
      <c r="X38" s="98"/>
      <c r="Y38" s="68">
        <f t="shared" si="3"/>
        <v>0</v>
      </c>
      <c r="Z38" s="68">
        <f t="shared" si="4"/>
        <v>0</v>
      </c>
      <c r="AA38" s="72"/>
      <c r="AB38" s="68">
        <f t="shared" si="7"/>
        <v>0</v>
      </c>
      <c r="AC38" s="68">
        <f t="shared" si="8"/>
        <v>0</v>
      </c>
      <c r="AD38" s="68"/>
      <c r="AE38" s="55"/>
      <c r="AF38" s="69">
        <f t="shared" si="5"/>
        <v>0</v>
      </c>
      <c r="AG38" s="86"/>
      <c r="AH38" s="108"/>
      <c r="AI38" s="108"/>
      <c r="AJ38" s="108"/>
      <c r="AK38" s="70">
        <f t="shared" si="6"/>
        <v>0</v>
      </c>
      <c r="AL38" s="71"/>
      <c r="AM38" s="48"/>
      <c r="AN38" s="5"/>
      <c r="AO38" s="5"/>
      <c r="AP38" s="5"/>
      <c r="AQ38" s="5"/>
      <c r="AR38" s="7"/>
      <c r="AS38" s="7"/>
      <c r="AT38" s="7"/>
      <c r="AU38" s="7"/>
      <c r="AV38" s="7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</row>
    <row r="39" spans="1:115" ht="15" customHeight="1" x14ac:dyDescent="0.3">
      <c r="A39" s="65"/>
      <c r="B39" s="109"/>
      <c r="C39" s="110"/>
      <c r="D39" s="110"/>
      <c r="E39" s="111"/>
      <c r="F39" s="85"/>
      <c r="G39" s="86"/>
      <c r="H39" s="86"/>
      <c r="I39" s="86"/>
      <c r="J39" s="86"/>
      <c r="K39" s="86"/>
      <c r="L39" s="86"/>
      <c r="M39" s="86"/>
      <c r="N39" s="86"/>
      <c r="O39" s="86"/>
      <c r="P39" s="86"/>
      <c r="Q39" s="67">
        <f t="shared" si="0"/>
        <v>0</v>
      </c>
      <c r="R39" s="67">
        <f t="shared" si="1"/>
        <v>0</v>
      </c>
      <c r="S39" s="86"/>
      <c r="T39" s="86"/>
      <c r="U39" s="86"/>
      <c r="V39" s="86"/>
      <c r="W39" s="66">
        <f t="shared" si="2"/>
        <v>0</v>
      </c>
      <c r="X39" s="98"/>
      <c r="Y39" s="68">
        <f t="shared" si="3"/>
        <v>0</v>
      </c>
      <c r="Z39" s="68">
        <f t="shared" si="4"/>
        <v>0</v>
      </c>
      <c r="AA39" s="72"/>
      <c r="AB39" s="68">
        <f t="shared" si="7"/>
        <v>0</v>
      </c>
      <c r="AC39" s="68">
        <f t="shared" si="8"/>
        <v>0</v>
      </c>
      <c r="AD39" s="68"/>
      <c r="AE39" s="55"/>
      <c r="AF39" s="69">
        <f t="shared" si="5"/>
        <v>0</v>
      </c>
      <c r="AG39" s="86"/>
      <c r="AH39" s="108"/>
      <c r="AI39" s="108"/>
      <c r="AJ39" s="108"/>
      <c r="AK39" s="70">
        <f t="shared" si="6"/>
        <v>0</v>
      </c>
      <c r="AL39" s="71"/>
      <c r="AM39" s="48"/>
      <c r="AN39" s="5"/>
      <c r="AO39" s="5"/>
      <c r="AP39" s="5"/>
      <c r="AQ39" s="5"/>
      <c r="AR39" s="7"/>
      <c r="AS39" s="7"/>
      <c r="AT39" s="7"/>
      <c r="AU39" s="7"/>
      <c r="AV39" s="7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</row>
    <row r="40" spans="1:115" ht="15" customHeight="1" x14ac:dyDescent="0.3">
      <c r="A40" s="65"/>
      <c r="B40" s="109"/>
      <c r="C40" s="110"/>
      <c r="D40" s="110"/>
      <c r="E40" s="111"/>
      <c r="F40" s="85"/>
      <c r="G40" s="86"/>
      <c r="H40" s="86"/>
      <c r="I40" s="86"/>
      <c r="J40" s="86"/>
      <c r="K40" s="86"/>
      <c r="L40" s="86"/>
      <c r="M40" s="86"/>
      <c r="N40" s="86"/>
      <c r="O40" s="86"/>
      <c r="P40" s="86"/>
      <c r="Q40" s="67">
        <f t="shared" si="0"/>
        <v>0</v>
      </c>
      <c r="R40" s="67">
        <f t="shared" si="1"/>
        <v>0</v>
      </c>
      <c r="S40" s="86"/>
      <c r="T40" s="86"/>
      <c r="U40" s="86"/>
      <c r="V40" s="86"/>
      <c r="W40" s="66">
        <f t="shared" si="2"/>
        <v>0</v>
      </c>
      <c r="X40" s="98"/>
      <c r="Y40" s="68">
        <f t="shared" si="3"/>
        <v>0</v>
      </c>
      <c r="Z40" s="68">
        <f t="shared" si="4"/>
        <v>0</v>
      </c>
      <c r="AA40" s="72"/>
      <c r="AB40" s="68">
        <f t="shared" si="7"/>
        <v>0</v>
      </c>
      <c r="AC40" s="68">
        <f t="shared" si="8"/>
        <v>0</v>
      </c>
      <c r="AD40" s="68"/>
      <c r="AE40" s="55"/>
      <c r="AF40" s="69">
        <f t="shared" si="5"/>
        <v>0</v>
      </c>
      <c r="AG40" s="86"/>
      <c r="AH40" s="108"/>
      <c r="AI40" s="108"/>
      <c r="AJ40" s="108"/>
      <c r="AK40" s="70">
        <f t="shared" si="6"/>
        <v>0</v>
      </c>
      <c r="AL40" s="71"/>
      <c r="AM40" s="48"/>
      <c r="AN40" s="5"/>
      <c r="AO40" s="5"/>
      <c r="AP40" s="5"/>
      <c r="AQ40" s="5"/>
      <c r="AR40" s="7"/>
      <c r="AS40" s="7"/>
      <c r="AT40" s="7"/>
      <c r="AU40" s="7"/>
      <c r="AV40" s="7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</row>
    <row r="41" spans="1:115" ht="15" customHeight="1" x14ac:dyDescent="0.3">
      <c r="A41" s="65"/>
      <c r="B41" s="109"/>
      <c r="C41" s="110"/>
      <c r="D41" s="110"/>
      <c r="E41" s="111"/>
      <c r="F41" s="85"/>
      <c r="G41" s="86"/>
      <c r="H41" s="86"/>
      <c r="I41" s="86"/>
      <c r="J41" s="86"/>
      <c r="K41" s="86"/>
      <c r="L41" s="86"/>
      <c r="M41" s="86"/>
      <c r="N41" s="86"/>
      <c r="O41" s="86"/>
      <c r="P41" s="86"/>
      <c r="Q41" s="67">
        <f t="shared" si="0"/>
        <v>0</v>
      </c>
      <c r="R41" s="67">
        <f t="shared" si="1"/>
        <v>0</v>
      </c>
      <c r="S41" s="86"/>
      <c r="T41" s="86"/>
      <c r="U41" s="86"/>
      <c r="V41" s="86"/>
      <c r="W41" s="66">
        <f t="shared" si="2"/>
        <v>0</v>
      </c>
      <c r="X41" s="97"/>
      <c r="Y41" s="68">
        <f t="shared" si="3"/>
        <v>0</v>
      </c>
      <c r="Z41" s="68">
        <f t="shared" si="4"/>
        <v>0</v>
      </c>
      <c r="AA41" s="72"/>
      <c r="AB41" s="68">
        <f t="shared" si="7"/>
        <v>0</v>
      </c>
      <c r="AC41" s="68">
        <f t="shared" si="8"/>
        <v>0</v>
      </c>
      <c r="AD41" s="68"/>
      <c r="AE41" s="55"/>
      <c r="AF41" s="69">
        <f t="shared" si="5"/>
        <v>0</v>
      </c>
      <c r="AG41" s="86"/>
      <c r="AH41" s="108"/>
      <c r="AI41" s="108"/>
      <c r="AJ41" s="108"/>
      <c r="AK41" s="70">
        <f t="shared" si="6"/>
        <v>0</v>
      </c>
      <c r="AL41" s="71"/>
      <c r="AM41" s="48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</row>
    <row r="42" spans="1:115" ht="15" customHeight="1" x14ac:dyDescent="0.3">
      <c r="A42" s="65"/>
      <c r="B42" s="109"/>
      <c r="C42" s="110"/>
      <c r="D42" s="110"/>
      <c r="E42" s="111"/>
      <c r="F42" s="85"/>
      <c r="G42" s="86"/>
      <c r="H42" s="86"/>
      <c r="I42" s="86"/>
      <c r="J42" s="86"/>
      <c r="K42" s="86"/>
      <c r="L42" s="86"/>
      <c r="M42" s="86"/>
      <c r="N42" s="86"/>
      <c r="O42" s="86"/>
      <c r="P42" s="86"/>
      <c r="Q42" s="67">
        <f t="shared" si="0"/>
        <v>0</v>
      </c>
      <c r="R42" s="67">
        <f t="shared" si="1"/>
        <v>0</v>
      </c>
      <c r="S42" s="86"/>
      <c r="T42" s="86"/>
      <c r="U42" s="86"/>
      <c r="V42" s="86"/>
      <c r="W42" s="66">
        <f t="shared" si="2"/>
        <v>0</v>
      </c>
      <c r="X42" s="97"/>
      <c r="Y42" s="68">
        <f t="shared" si="3"/>
        <v>0</v>
      </c>
      <c r="Z42" s="68">
        <f t="shared" si="4"/>
        <v>0</v>
      </c>
      <c r="AA42" s="72"/>
      <c r="AB42" s="68">
        <f t="shared" si="7"/>
        <v>0</v>
      </c>
      <c r="AC42" s="68">
        <f t="shared" si="8"/>
        <v>0</v>
      </c>
      <c r="AD42" s="68"/>
      <c r="AE42" s="55"/>
      <c r="AF42" s="69">
        <f t="shared" si="5"/>
        <v>0</v>
      </c>
      <c r="AG42" s="86"/>
      <c r="AH42" s="108"/>
      <c r="AI42" s="108"/>
      <c r="AJ42" s="108"/>
      <c r="AK42" s="70">
        <f t="shared" si="6"/>
        <v>0</v>
      </c>
      <c r="AL42" s="71"/>
      <c r="AM42" s="48"/>
      <c r="AN42" s="5"/>
      <c r="AO42" s="5"/>
      <c r="AP42" s="5"/>
      <c r="AQ42" s="5"/>
      <c r="AR42" s="7"/>
      <c r="AS42" s="7"/>
      <c r="AT42" s="7"/>
      <c r="AU42" s="7"/>
      <c r="AV42" s="7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</row>
    <row r="43" spans="1:115" ht="15" customHeight="1" x14ac:dyDescent="0.3">
      <c r="A43" s="65"/>
      <c r="B43" s="109"/>
      <c r="C43" s="110"/>
      <c r="D43" s="110"/>
      <c r="E43" s="111"/>
      <c r="F43" s="85"/>
      <c r="G43" s="86"/>
      <c r="H43" s="86"/>
      <c r="I43" s="86"/>
      <c r="J43" s="86"/>
      <c r="K43" s="86"/>
      <c r="L43" s="86"/>
      <c r="M43" s="86"/>
      <c r="N43" s="86"/>
      <c r="O43" s="86"/>
      <c r="P43" s="86"/>
      <c r="Q43" s="67">
        <f t="shared" si="0"/>
        <v>0</v>
      </c>
      <c r="R43" s="67">
        <f t="shared" si="1"/>
        <v>0</v>
      </c>
      <c r="S43" s="86"/>
      <c r="T43" s="86"/>
      <c r="U43" s="86"/>
      <c r="V43" s="86"/>
      <c r="W43" s="66">
        <f t="shared" si="2"/>
        <v>0</v>
      </c>
      <c r="X43" s="101"/>
      <c r="Y43" s="68">
        <f t="shared" si="3"/>
        <v>0</v>
      </c>
      <c r="Z43" s="68">
        <f t="shared" si="4"/>
        <v>0</v>
      </c>
      <c r="AA43" s="72"/>
      <c r="AB43" s="68">
        <f t="shared" si="7"/>
        <v>0</v>
      </c>
      <c r="AC43" s="68">
        <f t="shared" si="8"/>
        <v>0</v>
      </c>
      <c r="AD43" s="68"/>
      <c r="AE43" s="55"/>
      <c r="AF43" s="69">
        <f t="shared" si="5"/>
        <v>0</v>
      </c>
      <c r="AG43" s="86"/>
      <c r="AH43" s="108"/>
      <c r="AI43" s="108"/>
      <c r="AJ43" s="108"/>
      <c r="AK43" s="70">
        <f t="shared" si="6"/>
        <v>0</v>
      </c>
      <c r="AL43" s="71"/>
      <c r="AM43" s="48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</row>
    <row r="44" spans="1:115" ht="15" customHeight="1" x14ac:dyDescent="0.3">
      <c r="A44" s="65"/>
      <c r="B44" s="109"/>
      <c r="C44" s="110"/>
      <c r="D44" s="110"/>
      <c r="E44" s="111"/>
      <c r="F44" s="85"/>
      <c r="G44" s="86"/>
      <c r="H44" s="86"/>
      <c r="I44" s="86"/>
      <c r="J44" s="86"/>
      <c r="K44" s="86"/>
      <c r="L44" s="86"/>
      <c r="M44" s="86"/>
      <c r="N44" s="86"/>
      <c r="O44" s="86"/>
      <c r="P44" s="86"/>
      <c r="Q44" s="67">
        <f t="shared" si="0"/>
        <v>0</v>
      </c>
      <c r="R44" s="67">
        <f t="shared" si="1"/>
        <v>0</v>
      </c>
      <c r="S44" s="86"/>
      <c r="T44" s="86"/>
      <c r="U44" s="86"/>
      <c r="V44" s="86"/>
      <c r="W44" s="66">
        <f t="shared" si="2"/>
        <v>0</v>
      </c>
      <c r="X44" s="96"/>
      <c r="Y44" s="68">
        <f t="shared" si="3"/>
        <v>0</v>
      </c>
      <c r="Z44" s="68">
        <f t="shared" si="4"/>
        <v>0</v>
      </c>
      <c r="AA44" s="72"/>
      <c r="AB44" s="68">
        <f t="shared" si="7"/>
        <v>0</v>
      </c>
      <c r="AC44" s="68">
        <f t="shared" si="8"/>
        <v>0</v>
      </c>
      <c r="AD44" s="68"/>
      <c r="AE44" s="55"/>
      <c r="AF44" s="69">
        <f t="shared" si="5"/>
        <v>0</v>
      </c>
      <c r="AG44" s="86"/>
      <c r="AH44" s="108"/>
      <c r="AI44" s="108"/>
      <c r="AJ44" s="108"/>
      <c r="AK44" s="70">
        <f t="shared" si="6"/>
        <v>0</v>
      </c>
      <c r="AL44" s="71"/>
      <c r="AM44" s="48"/>
      <c r="AN44" s="5"/>
      <c r="AO44" s="5"/>
      <c r="AP44" s="5"/>
      <c r="AQ44" s="5"/>
      <c r="AR44" s="7"/>
      <c r="AS44" s="7"/>
      <c r="AT44" s="7"/>
      <c r="AU44" s="7"/>
      <c r="AV44" s="7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</row>
    <row r="45" spans="1:115" ht="15" customHeight="1" x14ac:dyDescent="0.3">
      <c r="A45" s="65"/>
      <c r="B45" s="109"/>
      <c r="C45" s="110"/>
      <c r="D45" s="110"/>
      <c r="E45" s="111"/>
      <c r="F45" s="85"/>
      <c r="G45" s="86"/>
      <c r="H45" s="86"/>
      <c r="I45" s="86"/>
      <c r="J45" s="86"/>
      <c r="K45" s="86"/>
      <c r="L45" s="86"/>
      <c r="M45" s="86"/>
      <c r="N45" s="86"/>
      <c r="O45" s="86"/>
      <c r="P45" s="86"/>
      <c r="Q45" s="67">
        <f t="shared" si="0"/>
        <v>0</v>
      </c>
      <c r="R45" s="67">
        <f t="shared" si="1"/>
        <v>0</v>
      </c>
      <c r="S45" s="86"/>
      <c r="T45" s="86"/>
      <c r="U45" s="86"/>
      <c r="V45" s="86"/>
      <c r="W45" s="66">
        <f t="shared" si="2"/>
        <v>0</v>
      </c>
      <c r="X45" s="97"/>
      <c r="Y45" s="68">
        <f t="shared" si="3"/>
        <v>0</v>
      </c>
      <c r="Z45" s="68">
        <f t="shared" si="4"/>
        <v>0</v>
      </c>
      <c r="AA45" s="72"/>
      <c r="AB45" s="68">
        <f t="shared" si="7"/>
        <v>0</v>
      </c>
      <c r="AC45" s="68">
        <f t="shared" si="8"/>
        <v>0</v>
      </c>
      <c r="AD45" s="68"/>
      <c r="AE45" s="55"/>
      <c r="AF45" s="69">
        <f t="shared" si="5"/>
        <v>0</v>
      </c>
      <c r="AG45" s="86"/>
      <c r="AH45" s="108"/>
      <c r="AI45" s="108"/>
      <c r="AJ45" s="108"/>
      <c r="AK45" s="70">
        <f t="shared" si="6"/>
        <v>0</v>
      </c>
      <c r="AL45" s="71"/>
      <c r="AM45" s="48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</row>
    <row r="46" spans="1:115" ht="15" customHeight="1" x14ac:dyDescent="0.3">
      <c r="A46" s="65"/>
      <c r="B46" s="109"/>
      <c r="C46" s="110"/>
      <c r="D46" s="110"/>
      <c r="E46" s="111"/>
      <c r="F46" s="85"/>
      <c r="G46" s="86"/>
      <c r="H46" s="86"/>
      <c r="I46" s="86"/>
      <c r="J46" s="86"/>
      <c r="K46" s="86"/>
      <c r="L46" s="86"/>
      <c r="M46" s="86"/>
      <c r="N46" s="86"/>
      <c r="O46" s="86"/>
      <c r="P46" s="86"/>
      <c r="Q46" s="67">
        <f t="shared" si="0"/>
        <v>0</v>
      </c>
      <c r="R46" s="67">
        <f t="shared" si="1"/>
        <v>0</v>
      </c>
      <c r="S46" s="86"/>
      <c r="T46" s="86"/>
      <c r="U46" s="86"/>
      <c r="V46" s="86"/>
      <c r="W46" s="66">
        <f t="shared" si="2"/>
        <v>0</v>
      </c>
      <c r="X46" s="98"/>
      <c r="Y46" s="68">
        <f t="shared" si="3"/>
        <v>0</v>
      </c>
      <c r="Z46" s="68">
        <f t="shared" si="4"/>
        <v>0</v>
      </c>
      <c r="AA46" s="72"/>
      <c r="AB46" s="68">
        <f t="shared" si="7"/>
        <v>0</v>
      </c>
      <c r="AC46" s="68">
        <f t="shared" si="8"/>
        <v>0</v>
      </c>
      <c r="AD46" s="68"/>
      <c r="AE46" s="55"/>
      <c r="AF46" s="69">
        <f t="shared" si="5"/>
        <v>0</v>
      </c>
      <c r="AG46" s="86"/>
      <c r="AH46" s="108"/>
      <c r="AI46" s="108"/>
      <c r="AJ46" s="108"/>
      <c r="AK46" s="70">
        <f t="shared" si="6"/>
        <v>0</v>
      </c>
      <c r="AL46" s="71"/>
      <c r="AM46" s="48"/>
      <c r="AN46" s="5"/>
      <c r="AO46" s="5"/>
      <c r="AP46" s="5"/>
      <c r="AQ46" s="5"/>
      <c r="AR46" s="7"/>
      <c r="AS46" s="7"/>
      <c r="AT46" s="7"/>
      <c r="AU46" s="7"/>
      <c r="AV46" s="7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</row>
    <row r="47" spans="1:115" ht="15.75" customHeight="1" x14ac:dyDescent="0.3">
      <c r="A47" s="65"/>
      <c r="B47" s="109"/>
      <c r="C47" s="110"/>
      <c r="D47" s="110"/>
      <c r="E47" s="111"/>
      <c r="F47" s="85"/>
      <c r="G47" s="86"/>
      <c r="H47" s="86"/>
      <c r="I47" s="86"/>
      <c r="J47" s="86"/>
      <c r="K47" s="86"/>
      <c r="L47" s="86"/>
      <c r="M47" s="86"/>
      <c r="N47" s="86"/>
      <c r="O47" s="86"/>
      <c r="P47" s="86"/>
      <c r="Q47" s="67">
        <f t="shared" si="0"/>
        <v>0</v>
      </c>
      <c r="R47" s="67">
        <f t="shared" si="1"/>
        <v>0</v>
      </c>
      <c r="S47" s="86"/>
      <c r="T47" s="86"/>
      <c r="U47" s="86"/>
      <c r="V47" s="86"/>
      <c r="W47" s="66">
        <f t="shared" si="2"/>
        <v>0</v>
      </c>
      <c r="X47" s="97"/>
      <c r="Y47" s="68">
        <f t="shared" si="3"/>
        <v>0</v>
      </c>
      <c r="Z47" s="68">
        <f t="shared" si="4"/>
        <v>0</v>
      </c>
      <c r="AA47" s="72"/>
      <c r="AB47" s="68">
        <f t="shared" si="7"/>
        <v>0</v>
      </c>
      <c r="AC47" s="68">
        <f t="shared" si="8"/>
        <v>0</v>
      </c>
      <c r="AD47" s="68"/>
      <c r="AE47" s="55"/>
      <c r="AF47" s="69">
        <f t="shared" si="5"/>
        <v>0</v>
      </c>
      <c r="AG47" s="86"/>
      <c r="AH47" s="108"/>
      <c r="AI47" s="108"/>
      <c r="AJ47" s="108"/>
      <c r="AK47" s="70">
        <f t="shared" si="6"/>
        <v>0</v>
      </c>
      <c r="AL47" s="71"/>
      <c r="AM47" s="48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</row>
    <row r="48" spans="1:115" ht="15" customHeight="1" x14ac:dyDescent="0.3">
      <c r="A48" s="65"/>
      <c r="B48" s="109"/>
      <c r="C48" s="110"/>
      <c r="D48" s="110"/>
      <c r="E48" s="111"/>
      <c r="F48" s="88"/>
      <c r="G48" s="86"/>
      <c r="H48" s="86"/>
      <c r="I48" s="86"/>
      <c r="J48" s="86"/>
      <c r="K48" s="86"/>
      <c r="L48" s="86"/>
      <c r="M48" s="86"/>
      <c r="N48" s="86"/>
      <c r="O48" s="86"/>
      <c r="P48" s="86"/>
      <c r="Q48" s="67">
        <f t="shared" si="0"/>
        <v>0</v>
      </c>
      <c r="R48" s="67">
        <f t="shared" si="1"/>
        <v>0</v>
      </c>
      <c r="S48" s="86"/>
      <c r="T48" s="86"/>
      <c r="U48" s="86"/>
      <c r="V48" s="86"/>
      <c r="W48" s="66">
        <f t="shared" si="2"/>
        <v>0</v>
      </c>
      <c r="X48" s="97"/>
      <c r="Y48" s="68">
        <f t="shared" si="3"/>
        <v>0</v>
      </c>
      <c r="Z48" s="68">
        <f t="shared" si="4"/>
        <v>0</v>
      </c>
      <c r="AA48" s="72"/>
      <c r="AB48" s="68">
        <f t="shared" si="7"/>
        <v>0</v>
      </c>
      <c r="AC48" s="68">
        <f t="shared" si="8"/>
        <v>0</v>
      </c>
      <c r="AD48" s="68"/>
      <c r="AE48" s="55"/>
      <c r="AF48" s="69">
        <f t="shared" si="5"/>
        <v>0</v>
      </c>
      <c r="AG48" s="86"/>
      <c r="AH48" s="108"/>
      <c r="AI48" s="108"/>
      <c r="AJ48" s="108"/>
      <c r="AK48" s="70">
        <f t="shared" si="6"/>
        <v>0</v>
      </c>
      <c r="AL48" s="71"/>
      <c r="AM48" s="48"/>
      <c r="AN48" s="5"/>
      <c r="AO48" s="5"/>
      <c r="AP48" s="5"/>
      <c r="AQ48" s="5"/>
      <c r="AR48" s="7"/>
      <c r="AS48" s="7"/>
      <c r="AT48" s="7"/>
      <c r="AU48" s="7"/>
      <c r="AV48" s="7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</row>
    <row r="49" spans="1:115" ht="15" customHeight="1" x14ac:dyDescent="0.3">
      <c r="A49" s="65"/>
      <c r="B49" s="109"/>
      <c r="C49" s="110"/>
      <c r="D49" s="110"/>
      <c r="E49" s="111"/>
      <c r="F49" s="85"/>
      <c r="G49" s="86"/>
      <c r="H49" s="86"/>
      <c r="I49" s="86"/>
      <c r="J49" s="86"/>
      <c r="K49" s="86"/>
      <c r="L49" s="86"/>
      <c r="M49" s="86"/>
      <c r="N49" s="86"/>
      <c r="O49" s="86"/>
      <c r="P49" s="86"/>
      <c r="Q49" s="67">
        <f t="shared" si="0"/>
        <v>0</v>
      </c>
      <c r="R49" s="67">
        <f t="shared" si="1"/>
        <v>0</v>
      </c>
      <c r="S49" s="86"/>
      <c r="T49" s="86"/>
      <c r="U49" s="86"/>
      <c r="V49" s="86"/>
      <c r="W49" s="66">
        <f t="shared" si="2"/>
        <v>0</v>
      </c>
      <c r="X49" s="96"/>
      <c r="Y49" s="68">
        <f t="shared" si="3"/>
        <v>0</v>
      </c>
      <c r="Z49" s="68">
        <f t="shared" si="4"/>
        <v>0</v>
      </c>
      <c r="AA49" s="72"/>
      <c r="AB49" s="68">
        <f t="shared" si="7"/>
        <v>0</v>
      </c>
      <c r="AC49" s="68">
        <f t="shared" si="8"/>
        <v>0</v>
      </c>
      <c r="AD49" s="68"/>
      <c r="AE49" s="55"/>
      <c r="AF49" s="69">
        <f t="shared" si="5"/>
        <v>0</v>
      </c>
      <c r="AG49" s="86"/>
      <c r="AH49" s="108"/>
      <c r="AI49" s="108"/>
      <c r="AJ49" s="108"/>
      <c r="AK49" s="70">
        <f t="shared" si="6"/>
        <v>0</v>
      </c>
      <c r="AL49" s="71"/>
      <c r="AM49" s="48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</row>
    <row r="50" spans="1:115" s="42" customFormat="1" ht="15" customHeight="1" x14ac:dyDescent="0.3">
      <c r="A50" s="65"/>
      <c r="B50" s="109"/>
      <c r="C50" s="110"/>
      <c r="D50" s="110"/>
      <c r="E50" s="111"/>
      <c r="F50" s="85"/>
      <c r="G50" s="86"/>
      <c r="H50" s="86"/>
      <c r="I50" s="86"/>
      <c r="J50" s="86"/>
      <c r="K50" s="86"/>
      <c r="L50" s="86"/>
      <c r="M50" s="86"/>
      <c r="N50" s="86"/>
      <c r="O50" s="86"/>
      <c r="P50" s="86"/>
      <c r="Q50" s="67">
        <f t="shared" si="0"/>
        <v>0</v>
      </c>
      <c r="R50" s="67">
        <f t="shared" si="1"/>
        <v>0</v>
      </c>
      <c r="S50" s="86"/>
      <c r="T50" s="86"/>
      <c r="U50" s="86"/>
      <c r="V50" s="86"/>
      <c r="W50" s="66">
        <f t="shared" si="2"/>
        <v>0</v>
      </c>
      <c r="X50" s="101"/>
      <c r="Y50" s="68">
        <f t="shared" si="3"/>
        <v>0</v>
      </c>
      <c r="Z50" s="68">
        <f t="shared" si="4"/>
        <v>0</v>
      </c>
      <c r="AA50" s="72"/>
      <c r="AB50" s="68">
        <f t="shared" si="7"/>
        <v>0</v>
      </c>
      <c r="AC50" s="68">
        <f t="shared" si="8"/>
        <v>0</v>
      </c>
      <c r="AD50" s="68"/>
      <c r="AE50" s="55"/>
      <c r="AF50" s="69">
        <f t="shared" si="5"/>
        <v>0</v>
      </c>
      <c r="AG50" s="86"/>
      <c r="AH50" s="108"/>
      <c r="AI50" s="108"/>
      <c r="AJ50" s="108"/>
      <c r="AK50" s="70">
        <f t="shared" si="6"/>
        <v>0</v>
      </c>
      <c r="AL50" s="71"/>
      <c r="AM50" s="48"/>
      <c r="AN50" s="5"/>
      <c r="AO50" s="5"/>
      <c r="AP50" s="5"/>
      <c r="AQ50" s="5"/>
      <c r="AR50" s="7"/>
      <c r="AS50" s="7"/>
      <c r="AT50" s="7"/>
      <c r="AU50" s="7"/>
      <c r="AV50" s="7"/>
      <c r="AW50"/>
      <c r="AX50"/>
      <c r="AY50"/>
      <c r="AZ50"/>
      <c r="BA50"/>
      <c r="BB50"/>
      <c r="BC50"/>
      <c r="BD50"/>
      <c r="BE50"/>
      <c r="BF50"/>
      <c r="BG50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/>
      <c r="CG50"/>
      <c r="CH50"/>
      <c r="CI50"/>
      <c r="CJ50"/>
      <c r="CK50"/>
      <c r="CL50"/>
      <c r="CM50"/>
      <c r="CN50"/>
      <c r="CO50"/>
      <c r="CP50"/>
      <c r="CQ50"/>
      <c r="CR50"/>
      <c r="CS50"/>
      <c r="CT50"/>
      <c r="CU50"/>
      <c r="CV50"/>
      <c r="CW50"/>
      <c r="CX50"/>
      <c r="CY50"/>
      <c r="CZ50"/>
      <c r="DA50"/>
      <c r="DB50"/>
      <c r="DC50"/>
      <c r="DD50"/>
      <c r="DE50"/>
      <c r="DF50"/>
      <c r="DG50"/>
      <c r="DH50"/>
      <c r="DI50"/>
      <c r="DJ50"/>
      <c r="DK50"/>
    </row>
    <row r="51" spans="1:115" s="42" customFormat="1" ht="15.75" customHeight="1" x14ac:dyDescent="0.3">
      <c r="A51" s="65"/>
      <c r="B51" s="109"/>
      <c r="C51" s="110"/>
      <c r="D51" s="110"/>
      <c r="E51" s="111"/>
      <c r="F51" s="90"/>
      <c r="G51" s="86"/>
      <c r="H51" s="86"/>
      <c r="I51" s="86"/>
      <c r="J51" s="86"/>
      <c r="K51" s="86"/>
      <c r="L51" s="86"/>
      <c r="M51" s="86"/>
      <c r="N51" s="86"/>
      <c r="O51" s="86"/>
      <c r="P51" s="86"/>
      <c r="Q51" s="67">
        <f t="shared" si="0"/>
        <v>0</v>
      </c>
      <c r="R51" s="67">
        <f t="shared" si="1"/>
        <v>0</v>
      </c>
      <c r="S51" s="86"/>
      <c r="T51" s="86"/>
      <c r="U51" s="86"/>
      <c r="V51" s="86"/>
      <c r="W51" s="66">
        <f t="shared" si="2"/>
        <v>0</v>
      </c>
      <c r="X51" s="96"/>
      <c r="Y51" s="68">
        <f t="shared" si="3"/>
        <v>0</v>
      </c>
      <c r="Z51" s="68">
        <f t="shared" si="4"/>
        <v>0</v>
      </c>
      <c r="AA51" s="72"/>
      <c r="AB51" s="68">
        <f t="shared" si="7"/>
        <v>0</v>
      </c>
      <c r="AC51" s="68">
        <f t="shared" si="8"/>
        <v>0</v>
      </c>
      <c r="AD51" s="68"/>
      <c r="AE51" s="55"/>
      <c r="AF51" s="69">
        <f t="shared" si="5"/>
        <v>0</v>
      </c>
      <c r="AG51" s="86"/>
      <c r="AH51" s="108"/>
      <c r="AI51" s="108"/>
      <c r="AJ51" s="108"/>
      <c r="AK51" s="70">
        <f t="shared" si="6"/>
        <v>0</v>
      </c>
      <c r="AL51" s="71"/>
      <c r="AM51" s="48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</row>
    <row r="52" spans="1:115" ht="15" customHeight="1" x14ac:dyDescent="0.3">
      <c r="A52" s="65"/>
      <c r="B52" s="109"/>
      <c r="C52" s="110"/>
      <c r="D52" s="110"/>
      <c r="E52" s="111"/>
      <c r="F52" s="88"/>
      <c r="G52" s="86"/>
      <c r="H52" s="86"/>
      <c r="I52" s="86"/>
      <c r="J52" s="86"/>
      <c r="K52" s="86"/>
      <c r="L52" s="86"/>
      <c r="M52" s="86"/>
      <c r="N52" s="86"/>
      <c r="O52" s="86"/>
      <c r="P52" s="86"/>
      <c r="Q52" s="67">
        <f t="shared" si="0"/>
        <v>0</v>
      </c>
      <c r="R52" s="67">
        <f t="shared" si="1"/>
        <v>0</v>
      </c>
      <c r="S52" s="86"/>
      <c r="T52" s="86"/>
      <c r="U52" s="86"/>
      <c r="V52" s="86"/>
      <c r="W52" s="66">
        <f t="shared" si="2"/>
        <v>0</v>
      </c>
      <c r="X52" s="98"/>
      <c r="Y52" s="68">
        <f t="shared" si="3"/>
        <v>0</v>
      </c>
      <c r="Z52" s="68">
        <f t="shared" si="4"/>
        <v>0</v>
      </c>
      <c r="AA52" s="72"/>
      <c r="AB52" s="68">
        <f t="shared" si="7"/>
        <v>0</v>
      </c>
      <c r="AC52" s="68">
        <f t="shared" si="8"/>
        <v>0</v>
      </c>
      <c r="AD52" s="68"/>
      <c r="AE52" s="55"/>
      <c r="AF52" s="69">
        <f t="shared" si="5"/>
        <v>0</v>
      </c>
      <c r="AG52" s="86"/>
      <c r="AH52" s="108"/>
      <c r="AI52" s="108"/>
      <c r="AJ52" s="108"/>
      <c r="AK52" s="70">
        <f t="shared" si="6"/>
        <v>0</v>
      </c>
      <c r="AL52" s="71"/>
      <c r="AM52" s="48"/>
      <c r="AN52" s="5"/>
      <c r="AO52" s="5"/>
      <c r="AP52" s="5"/>
      <c r="AQ52" s="5"/>
      <c r="AR52" s="7"/>
      <c r="AS52" s="7"/>
      <c r="AT52" s="7"/>
      <c r="AU52" s="7"/>
      <c r="AV52" s="7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</row>
    <row r="53" spans="1:115" ht="15" customHeight="1" x14ac:dyDescent="0.3">
      <c r="A53" s="65"/>
      <c r="B53" s="109"/>
      <c r="C53" s="110"/>
      <c r="D53" s="110"/>
      <c r="E53" s="111"/>
      <c r="F53" s="90" t="s">
        <v>52</v>
      </c>
      <c r="G53" s="86"/>
      <c r="H53" s="86"/>
      <c r="I53" s="86"/>
      <c r="J53" s="86"/>
      <c r="K53" s="86"/>
      <c r="L53" s="86"/>
      <c r="M53" s="86"/>
      <c r="N53" s="86"/>
      <c r="O53" s="86"/>
      <c r="P53" s="86"/>
      <c r="Q53" s="67">
        <f t="shared" si="0"/>
        <v>0</v>
      </c>
      <c r="R53" s="67">
        <f t="shared" si="1"/>
        <v>0</v>
      </c>
      <c r="S53" s="86"/>
      <c r="T53" s="86"/>
      <c r="U53" s="86"/>
      <c r="V53" s="86"/>
      <c r="W53" s="66">
        <f t="shared" si="2"/>
        <v>0</v>
      </c>
      <c r="X53" s="98"/>
      <c r="Y53" s="68">
        <f t="shared" si="3"/>
        <v>0</v>
      </c>
      <c r="Z53" s="68">
        <f t="shared" si="4"/>
        <v>0</v>
      </c>
      <c r="AA53" s="72"/>
      <c r="AB53" s="68">
        <f t="shared" si="7"/>
        <v>0</v>
      </c>
      <c r="AC53" s="68">
        <f t="shared" si="8"/>
        <v>0</v>
      </c>
      <c r="AD53" s="68"/>
      <c r="AE53" s="55"/>
      <c r="AF53" s="69">
        <f t="shared" si="5"/>
        <v>0</v>
      </c>
      <c r="AG53" s="86"/>
      <c r="AH53" s="108"/>
      <c r="AI53" s="108"/>
      <c r="AJ53" s="108"/>
      <c r="AK53" s="70">
        <f t="shared" si="6"/>
        <v>0</v>
      </c>
      <c r="AL53" s="71"/>
      <c r="AM53" s="48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</row>
    <row r="54" spans="1:115" ht="15" customHeight="1" x14ac:dyDescent="0.3">
      <c r="A54" s="65"/>
      <c r="B54" s="109"/>
      <c r="C54" s="110"/>
      <c r="D54" s="110"/>
      <c r="E54" s="111"/>
      <c r="F54" s="85"/>
      <c r="G54" s="86"/>
      <c r="H54" s="86"/>
      <c r="I54" s="86"/>
      <c r="J54" s="86"/>
      <c r="K54" s="86"/>
      <c r="L54" s="86"/>
      <c r="M54" s="86"/>
      <c r="N54" s="86"/>
      <c r="O54" s="86"/>
      <c r="P54" s="86"/>
      <c r="Q54" s="67">
        <f t="shared" si="0"/>
        <v>0</v>
      </c>
      <c r="R54" s="67">
        <f t="shared" si="1"/>
        <v>0</v>
      </c>
      <c r="S54" s="86"/>
      <c r="T54" s="86"/>
      <c r="U54" s="86"/>
      <c r="V54" s="86"/>
      <c r="W54" s="66">
        <f t="shared" si="2"/>
        <v>0</v>
      </c>
      <c r="X54" s="98"/>
      <c r="Y54" s="68">
        <f t="shared" si="3"/>
        <v>0</v>
      </c>
      <c r="Z54" s="68">
        <f t="shared" si="4"/>
        <v>0</v>
      </c>
      <c r="AA54" s="72"/>
      <c r="AB54" s="68">
        <f t="shared" si="7"/>
        <v>0</v>
      </c>
      <c r="AC54" s="68">
        <f t="shared" si="8"/>
        <v>0</v>
      </c>
      <c r="AD54" s="68"/>
      <c r="AE54" s="55"/>
      <c r="AF54" s="69">
        <f t="shared" si="5"/>
        <v>0</v>
      </c>
      <c r="AG54" s="86"/>
      <c r="AH54" s="108"/>
      <c r="AI54" s="108"/>
      <c r="AJ54" s="108"/>
      <c r="AK54" s="70">
        <f t="shared" si="6"/>
        <v>0</v>
      </c>
      <c r="AL54" s="71"/>
      <c r="AM54" s="48"/>
      <c r="AN54" s="5"/>
      <c r="AO54" s="5"/>
      <c r="AP54" s="5"/>
      <c r="AQ54" s="5"/>
      <c r="AR54" s="7"/>
      <c r="AS54" s="7"/>
      <c r="AT54" s="7"/>
      <c r="AU54" s="7"/>
      <c r="AV54" s="7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</row>
    <row r="55" spans="1:115" ht="15" customHeight="1" x14ac:dyDescent="0.3">
      <c r="A55" s="65"/>
      <c r="B55" s="109"/>
      <c r="C55" s="110"/>
      <c r="D55" s="110"/>
      <c r="E55" s="111"/>
      <c r="F55" s="85"/>
      <c r="G55" s="86"/>
      <c r="H55" s="86"/>
      <c r="I55" s="86"/>
      <c r="J55" s="86"/>
      <c r="K55" s="86"/>
      <c r="L55" s="86"/>
      <c r="M55" s="86"/>
      <c r="N55" s="86"/>
      <c r="O55" s="86"/>
      <c r="P55" s="86"/>
      <c r="Q55" s="67">
        <f t="shared" si="0"/>
        <v>0</v>
      </c>
      <c r="R55" s="67">
        <f t="shared" si="1"/>
        <v>0</v>
      </c>
      <c r="S55" s="86"/>
      <c r="T55" s="86"/>
      <c r="U55" s="86"/>
      <c r="V55" s="86"/>
      <c r="W55" s="66">
        <f t="shared" si="2"/>
        <v>0</v>
      </c>
      <c r="X55" s="98"/>
      <c r="Y55" s="68">
        <f t="shared" si="3"/>
        <v>0</v>
      </c>
      <c r="Z55" s="68">
        <f t="shared" si="4"/>
        <v>0</v>
      </c>
      <c r="AA55" s="72"/>
      <c r="AB55" s="68">
        <f t="shared" si="7"/>
        <v>0</v>
      </c>
      <c r="AC55" s="68">
        <f t="shared" si="8"/>
        <v>0</v>
      </c>
      <c r="AD55" s="68"/>
      <c r="AE55" s="55"/>
      <c r="AF55" s="69">
        <f t="shared" si="5"/>
        <v>0</v>
      </c>
      <c r="AG55" s="86"/>
      <c r="AH55" s="108"/>
      <c r="AI55" s="108"/>
      <c r="AJ55" s="108"/>
      <c r="AK55" s="70">
        <f t="shared" si="6"/>
        <v>0</v>
      </c>
      <c r="AL55" s="71"/>
      <c r="AM55" s="48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</row>
    <row r="56" spans="1:115" ht="15" customHeight="1" x14ac:dyDescent="0.3">
      <c r="A56" s="65"/>
      <c r="B56" s="109"/>
      <c r="C56" s="110"/>
      <c r="D56" s="110"/>
      <c r="E56" s="111"/>
      <c r="F56" s="91"/>
      <c r="G56" s="86"/>
      <c r="H56" s="86"/>
      <c r="I56" s="86"/>
      <c r="J56" s="86"/>
      <c r="K56" s="86"/>
      <c r="L56" s="86"/>
      <c r="M56" s="86"/>
      <c r="N56" s="86"/>
      <c r="O56" s="86"/>
      <c r="P56" s="86"/>
      <c r="Q56" s="67">
        <f t="shared" si="0"/>
        <v>0</v>
      </c>
      <c r="R56" s="67">
        <f t="shared" si="1"/>
        <v>0</v>
      </c>
      <c r="S56" s="86"/>
      <c r="T56" s="86"/>
      <c r="U56" s="86"/>
      <c r="V56" s="86"/>
      <c r="W56" s="66">
        <f t="shared" si="2"/>
        <v>0</v>
      </c>
      <c r="X56" s="98"/>
      <c r="Y56" s="68">
        <f t="shared" si="3"/>
        <v>0</v>
      </c>
      <c r="Z56" s="68">
        <f t="shared" si="4"/>
        <v>0</v>
      </c>
      <c r="AA56" s="72"/>
      <c r="AB56" s="68">
        <f t="shared" si="7"/>
        <v>0</v>
      </c>
      <c r="AC56" s="68">
        <f t="shared" si="8"/>
        <v>0</v>
      </c>
      <c r="AD56" s="68"/>
      <c r="AE56" s="55"/>
      <c r="AF56" s="69">
        <f t="shared" si="5"/>
        <v>0</v>
      </c>
      <c r="AG56" s="86"/>
      <c r="AH56" s="108"/>
      <c r="AI56" s="108"/>
      <c r="AJ56" s="108"/>
      <c r="AK56" s="70">
        <f t="shared" si="6"/>
        <v>0</v>
      </c>
      <c r="AL56" s="71"/>
      <c r="AM56" s="48"/>
      <c r="AN56" s="5"/>
      <c r="AO56" s="5"/>
      <c r="AP56" s="5"/>
      <c r="AQ56" s="5"/>
      <c r="AR56" s="7"/>
      <c r="AS56" s="7"/>
      <c r="AT56" s="7"/>
      <c r="AU56" s="7"/>
      <c r="AV56" s="7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</row>
    <row r="57" spans="1:115" ht="15" customHeight="1" x14ac:dyDescent="0.3">
      <c r="A57" s="65"/>
      <c r="B57" s="109"/>
      <c r="C57" s="110"/>
      <c r="D57" s="110"/>
      <c r="E57" s="111"/>
      <c r="F57" s="92"/>
      <c r="G57" s="86"/>
      <c r="H57" s="86"/>
      <c r="I57" s="86"/>
      <c r="J57" s="86"/>
      <c r="K57" s="86"/>
      <c r="L57" s="86"/>
      <c r="M57" s="86"/>
      <c r="N57" s="86"/>
      <c r="O57" s="86"/>
      <c r="P57" s="86"/>
      <c r="Q57" s="67">
        <f t="shared" si="0"/>
        <v>0</v>
      </c>
      <c r="R57" s="67">
        <f t="shared" si="1"/>
        <v>0</v>
      </c>
      <c r="S57" s="86"/>
      <c r="T57" s="86"/>
      <c r="U57" s="86"/>
      <c r="V57" s="86"/>
      <c r="W57" s="66">
        <f t="shared" si="2"/>
        <v>0</v>
      </c>
      <c r="X57" s="98"/>
      <c r="Y57" s="68">
        <f t="shared" si="3"/>
        <v>0</v>
      </c>
      <c r="Z57" s="68">
        <f t="shared" si="4"/>
        <v>0</v>
      </c>
      <c r="AA57" s="72"/>
      <c r="AB57" s="68">
        <f t="shared" si="7"/>
        <v>0</v>
      </c>
      <c r="AC57" s="68">
        <f t="shared" si="8"/>
        <v>0</v>
      </c>
      <c r="AD57" s="68"/>
      <c r="AE57" s="55"/>
      <c r="AF57" s="69">
        <f t="shared" si="5"/>
        <v>0</v>
      </c>
      <c r="AG57" s="86"/>
      <c r="AH57" s="108"/>
      <c r="AI57" s="108"/>
      <c r="AJ57" s="108"/>
      <c r="AK57" s="70">
        <f t="shared" si="6"/>
        <v>0</v>
      </c>
      <c r="AL57" s="71"/>
      <c r="AM57" s="48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</row>
    <row r="58" spans="1:115" s="42" customFormat="1" ht="15" customHeight="1" x14ac:dyDescent="0.3">
      <c r="A58" s="65"/>
      <c r="B58" s="109"/>
      <c r="C58" s="110"/>
      <c r="D58" s="110"/>
      <c r="E58" s="111"/>
      <c r="F58" s="93"/>
      <c r="G58" s="86"/>
      <c r="H58" s="86"/>
      <c r="I58" s="86"/>
      <c r="J58" s="86"/>
      <c r="K58" s="86"/>
      <c r="L58" s="86"/>
      <c r="M58" s="86"/>
      <c r="N58" s="86"/>
      <c r="O58" s="86"/>
      <c r="P58" s="86"/>
      <c r="Q58" s="67">
        <f t="shared" si="0"/>
        <v>0</v>
      </c>
      <c r="R58" s="67">
        <f t="shared" si="1"/>
        <v>0</v>
      </c>
      <c r="S58" s="86"/>
      <c r="T58" s="86"/>
      <c r="U58" s="86"/>
      <c r="V58" s="86"/>
      <c r="W58" s="66">
        <f t="shared" si="2"/>
        <v>0</v>
      </c>
      <c r="X58" s="98"/>
      <c r="Y58" s="68">
        <f t="shared" si="3"/>
        <v>0</v>
      </c>
      <c r="Z58" s="68">
        <f t="shared" si="4"/>
        <v>0</v>
      </c>
      <c r="AA58" s="72"/>
      <c r="AB58" s="68">
        <f t="shared" si="7"/>
        <v>0</v>
      </c>
      <c r="AC58" s="68">
        <f t="shared" si="8"/>
        <v>0</v>
      </c>
      <c r="AD58" s="68"/>
      <c r="AE58" s="55"/>
      <c r="AF58" s="69">
        <f t="shared" si="5"/>
        <v>0</v>
      </c>
      <c r="AG58" s="86"/>
      <c r="AH58" s="108"/>
      <c r="AI58" s="108"/>
      <c r="AJ58" s="108"/>
      <c r="AK58" s="70">
        <f t="shared" si="6"/>
        <v>0</v>
      </c>
      <c r="AL58" s="71"/>
      <c r="AM58" s="48"/>
      <c r="AN58" s="5"/>
      <c r="AO58" s="5"/>
      <c r="AP58" s="5"/>
      <c r="AQ58" s="5"/>
      <c r="AR58" s="7"/>
      <c r="AS58" s="7"/>
      <c r="AT58" s="7"/>
      <c r="AU58" s="7"/>
      <c r="AV58" s="7"/>
      <c r="AW58"/>
      <c r="AX58"/>
      <c r="AY58"/>
      <c r="AZ58"/>
      <c r="BA58"/>
      <c r="BB58"/>
      <c r="BC58"/>
      <c r="BD58"/>
      <c r="BE58"/>
      <c r="BF58"/>
      <c r="BG58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/>
      <c r="CG58"/>
      <c r="CH58"/>
      <c r="CI58"/>
      <c r="CJ58"/>
      <c r="CK58"/>
      <c r="CL58"/>
      <c r="CM58"/>
      <c r="CN58"/>
      <c r="CO58"/>
      <c r="CP58"/>
      <c r="CQ58"/>
      <c r="CR58"/>
      <c r="CS58"/>
      <c r="CT58"/>
      <c r="CU58"/>
      <c r="CV58"/>
      <c r="CW58"/>
      <c r="CX58"/>
      <c r="CY58"/>
      <c r="CZ58"/>
      <c r="DA58"/>
      <c r="DB58"/>
      <c r="DC58"/>
      <c r="DD58"/>
      <c r="DE58"/>
      <c r="DF58"/>
      <c r="DG58"/>
      <c r="DH58"/>
      <c r="DI58"/>
      <c r="DJ58"/>
      <c r="DK58"/>
    </row>
    <row r="59" spans="1:115" s="42" customFormat="1" ht="15" customHeight="1" x14ac:dyDescent="0.3">
      <c r="A59" s="65"/>
      <c r="B59" s="109"/>
      <c r="C59" s="110"/>
      <c r="D59" s="110"/>
      <c r="E59" s="111"/>
      <c r="F59" s="85"/>
      <c r="G59" s="86"/>
      <c r="H59" s="86"/>
      <c r="I59" s="86"/>
      <c r="J59" s="86"/>
      <c r="K59" s="86"/>
      <c r="L59" s="86"/>
      <c r="M59" s="86"/>
      <c r="N59" s="86"/>
      <c r="O59" s="86"/>
      <c r="P59" s="86"/>
      <c r="Q59" s="67">
        <f t="shared" si="0"/>
        <v>0</v>
      </c>
      <c r="R59" s="67">
        <f t="shared" si="1"/>
        <v>0</v>
      </c>
      <c r="S59" s="86"/>
      <c r="T59" s="86"/>
      <c r="U59" s="86"/>
      <c r="V59" s="86"/>
      <c r="W59" s="66">
        <f t="shared" si="2"/>
        <v>0</v>
      </c>
      <c r="X59" s="98"/>
      <c r="Y59" s="68">
        <f t="shared" si="3"/>
        <v>0</v>
      </c>
      <c r="Z59" s="68">
        <f t="shared" si="4"/>
        <v>0</v>
      </c>
      <c r="AA59" s="72"/>
      <c r="AB59" s="68">
        <f t="shared" si="7"/>
        <v>0</v>
      </c>
      <c r="AC59" s="68">
        <f t="shared" si="8"/>
        <v>0</v>
      </c>
      <c r="AD59" s="68"/>
      <c r="AE59" s="55"/>
      <c r="AF59" s="69">
        <f t="shared" si="5"/>
        <v>0</v>
      </c>
      <c r="AG59" s="86"/>
      <c r="AH59" s="108"/>
      <c r="AI59" s="108"/>
      <c r="AJ59" s="108"/>
      <c r="AK59" s="70">
        <f t="shared" si="6"/>
        <v>0</v>
      </c>
      <c r="AL59" s="71"/>
      <c r="AM59" s="48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</row>
    <row r="60" spans="1:115" ht="15" customHeight="1" x14ac:dyDescent="0.3">
      <c r="A60" s="65"/>
      <c r="B60" s="109"/>
      <c r="C60" s="110"/>
      <c r="D60" s="110"/>
      <c r="E60" s="111"/>
      <c r="F60" s="85"/>
      <c r="G60" s="86"/>
      <c r="H60" s="86"/>
      <c r="I60" s="86"/>
      <c r="J60" s="86"/>
      <c r="K60" s="86"/>
      <c r="L60" s="86"/>
      <c r="M60" s="86"/>
      <c r="N60" s="86"/>
      <c r="O60" s="86"/>
      <c r="P60" s="86"/>
      <c r="Q60" s="67">
        <f t="shared" si="0"/>
        <v>0</v>
      </c>
      <c r="R60" s="67">
        <f t="shared" si="1"/>
        <v>0</v>
      </c>
      <c r="S60" s="86"/>
      <c r="T60" s="86"/>
      <c r="U60" s="86"/>
      <c r="V60" s="86"/>
      <c r="W60" s="66">
        <f t="shared" si="2"/>
        <v>0</v>
      </c>
      <c r="X60" s="98"/>
      <c r="Y60" s="68">
        <f t="shared" si="3"/>
        <v>0</v>
      </c>
      <c r="Z60" s="68">
        <f t="shared" si="4"/>
        <v>0</v>
      </c>
      <c r="AA60" s="72"/>
      <c r="AB60" s="68">
        <f t="shared" si="7"/>
        <v>0</v>
      </c>
      <c r="AC60" s="68">
        <f t="shared" si="8"/>
        <v>0</v>
      </c>
      <c r="AD60" s="68"/>
      <c r="AE60" s="55"/>
      <c r="AF60" s="69">
        <f t="shared" si="5"/>
        <v>0</v>
      </c>
      <c r="AG60" s="86"/>
      <c r="AH60" s="108"/>
      <c r="AI60" s="108"/>
      <c r="AJ60" s="108"/>
      <c r="AK60" s="70">
        <f t="shared" si="6"/>
        <v>0</v>
      </c>
      <c r="AL60" s="71"/>
      <c r="AM60" s="48"/>
      <c r="AN60" s="5"/>
      <c r="AO60" s="5"/>
      <c r="AP60" s="5"/>
      <c r="AQ60" s="5"/>
      <c r="AR60" s="7"/>
      <c r="AS60" s="7"/>
      <c r="AT60" s="7"/>
      <c r="AU60" s="7"/>
      <c r="AV60" s="7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</row>
    <row r="61" spans="1:115" ht="15.75" customHeight="1" x14ac:dyDescent="0.3">
      <c r="A61" s="65"/>
      <c r="B61" s="109"/>
      <c r="C61" s="110"/>
      <c r="D61" s="110"/>
      <c r="E61" s="111"/>
      <c r="F61" s="85"/>
      <c r="G61" s="86"/>
      <c r="H61" s="86"/>
      <c r="I61" s="86"/>
      <c r="J61" s="86"/>
      <c r="K61" s="86"/>
      <c r="L61" s="86"/>
      <c r="M61" s="86"/>
      <c r="N61" s="86"/>
      <c r="O61" s="86"/>
      <c r="P61" s="87"/>
      <c r="Q61" s="72">
        <f>P61*0.02</f>
        <v>0</v>
      </c>
      <c r="R61" s="72">
        <f>P61+Q61</f>
        <v>0</v>
      </c>
      <c r="S61" s="86"/>
      <c r="T61" s="86"/>
      <c r="U61" s="86"/>
      <c r="V61" s="86"/>
      <c r="W61" s="73">
        <f>G61+I61+K61+M61+O61+R61+S61+T61+U61+V61</f>
        <v>0</v>
      </c>
      <c r="X61" s="102"/>
      <c r="Y61" s="68">
        <f>X61*0.02</f>
        <v>0</v>
      </c>
      <c r="Z61" s="68">
        <f>X61+Y61</f>
        <v>0</v>
      </c>
      <c r="AA61" s="72"/>
      <c r="AB61" s="68">
        <f t="shared" si="7"/>
        <v>0</v>
      </c>
      <c r="AC61" s="68">
        <f t="shared" si="8"/>
        <v>0</v>
      </c>
      <c r="AD61" s="68"/>
      <c r="AE61" s="55"/>
      <c r="AF61" s="69">
        <f t="shared" si="5"/>
        <v>0</v>
      </c>
      <c r="AG61" s="86"/>
      <c r="AH61" s="108"/>
      <c r="AI61" s="108"/>
      <c r="AJ61" s="108"/>
      <c r="AK61" s="70">
        <f t="shared" si="6"/>
        <v>0</v>
      </c>
      <c r="AL61" s="71"/>
      <c r="AM61" s="48"/>
      <c r="AN61" s="5"/>
      <c r="AO61" s="5"/>
      <c r="AP61" s="5"/>
      <c r="AQ61" s="5"/>
      <c r="AR61" s="7"/>
      <c r="AS61" s="7"/>
      <c r="AT61" s="7"/>
      <c r="AU61" s="7"/>
      <c r="AV61" s="7"/>
      <c r="CE61" s="1"/>
    </row>
    <row r="62" spans="1:115" ht="15" customHeight="1" x14ac:dyDescent="0.3">
      <c r="A62" s="65"/>
      <c r="B62" s="109"/>
      <c r="C62" s="110"/>
      <c r="D62" s="110"/>
      <c r="E62" s="111"/>
      <c r="F62" s="85"/>
      <c r="G62" s="86"/>
      <c r="H62" s="86"/>
      <c r="I62" s="86"/>
      <c r="J62" s="86"/>
      <c r="K62" s="86"/>
      <c r="L62" s="86"/>
      <c r="M62" s="86"/>
      <c r="N62" s="86"/>
      <c r="O62" s="86"/>
      <c r="P62" s="86"/>
      <c r="Q62" s="67">
        <f t="shared" si="0"/>
        <v>0</v>
      </c>
      <c r="R62" s="67">
        <f t="shared" si="1"/>
        <v>0</v>
      </c>
      <c r="S62" s="86"/>
      <c r="T62" s="86"/>
      <c r="U62" s="86"/>
      <c r="V62" s="86"/>
      <c r="W62" s="66">
        <f t="shared" si="2"/>
        <v>0</v>
      </c>
      <c r="X62" s="98"/>
      <c r="Y62" s="68">
        <f t="shared" si="3"/>
        <v>0</v>
      </c>
      <c r="Z62" s="68">
        <f t="shared" si="4"/>
        <v>0</v>
      </c>
      <c r="AA62" s="72"/>
      <c r="AB62" s="68">
        <f t="shared" si="7"/>
        <v>0</v>
      </c>
      <c r="AC62" s="68">
        <f t="shared" si="8"/>
        <v>0</v>
      </c>
      <c r="AD62" s="68"/>
      <c r="AE62" s="55"/>
      <c r="AF62" s="69">
        <f t="shared" si="5"/>
        <v>0</v>
      </c>
      <c r="AG62" s="86"/>
      <c r="AH62" s="108"/>
      <c r="AI62" s="108"/>
      <c r="AJ62" s="108"/>
      <c r="AK62" s="70">
        <f t="shared" si="6"/>
        <v>0</v>
      </c>
      <c r="AL62" s="71"/>
      <c r="AM62" s="48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</row>
    <row r="63" spans="1:115" ht="15" customHeight="1" x14ac:dyDescent="0.3">
      <c r="A63" s="65"/>
      <c r="B63" s="109"/>
      <c r="C63" s="110"/>
      <c r="D63" s="110"/>
      <c r="E63" s="111"/>
      <c r="F63" s="85"/>
      <c r="G63" s="86"/>
      <c r="H63" s="86"/>
      <c r="I63" s="86"/>
      <c r="J63" s="86"/>
      <c r="K63" s="86"/>
      <c r="L63" s="86"/>
      <c r="M63" s="86"/>
      <c r="N63" s="86"/>
      <c r="O63" s="86"/>
      <c r="P63" s="86"/>
      <c r="Q63" s="67">
        <f t="shared" si="0"/>
        <v>0</v>
      </c>
      <c r="R63" s="67">
        <f t="shared" si="1"/>
        <v>0</v>
      </c>
      <c r="S63" s="86"/>
      <c r="T63" s="86"/>
      <c r="U63" s="86"/>
      <c r="V63" s="86"/>
      <c r="W63" s="66">
        <f t="shared" si="2"/>
        <v>0</v>
      </c>
      <c r="X63" s="98"/>
      <c r="Y63" s="68">
        <f t="shared" si="3"/>
        <v>0</v>
      </c>
      <c r="Z63" s="68">
        <f t="shared" si="4"/>
        <v>0</v>
      </c>
      <c r="AA63" s="72"/>
      <c r="AB63" s="68">
        <f t="shared" si="7"/>
        <v>0</v>
      </c>
      <c r="AC63" s="68">
        <f t="shared" si="8"/>
        <v>0</v>
      </c>
      <c r="AD63" s="68"/>
      <c r="AE63" s="55"/>
      <c r="AF63" s="69">
        <f t="shared" si="5"/>
        <v>0</v>
      </c>
      <c r="AG63" s="86"/>
      <c r="AH63" s="108"/>
      <c r="AI63" s="108"/>
      <c r="AJ63" s="108"/>
      <c r="AK63" s="70">
        <f t="shared" si="6"/>
        <v>0</v>
      </c>
      <c r="AL63" s="71"/>
      <c r="AM63" s="48"/>
      <c r="AN63" s="5"/>
      <c r="AO63" s="5"/>
      <c r="AP63" s="5"/>
      <c r="AQ63" s="5"/>
      <c r="AR63" s="7"/>
      <c r="AS63" s="7"/>
      <c r="AT63" s="7"/>
      <c r="AU63" s="7"/>
      <c r="AV63" s="7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</row>
    <row r="64" spans="1:115" ht="15" customHeight="1" x14ac:dyDescent="0.3">
      <c r="A64" s="65"/>
      <c r="B64" s="109"/>
      <c r="C64" s="110"/>
      <c r="D64" s="110"/>
      <c r="E64" s="111"/>
      <c r="F64" s="94"/>
      <c r="G64" s="86"/>
      <c r="H64" s="86"/>
      <c r="I64" s="86"/>
      <c r="J64" s="86"/>
      <c r="K64" s="86"/>
      <c r="L64" s="86"/>
      <c r="M64" s="86"/>
      <c r="N64" s="86"/>
      <c r="O64" s="86"/>
      <c r="P64" s="86"/>
      <c r="Q64" s="67">
        <f t="shared" si="0"/>
        <v>0</v>
      </c>
      <c r="R64" s="67">
        <f t="shared" si="1"/>
        <v>0</v>
      </c>
      <c r="S64" s="86"/>
      <c r="T64" s="86"/>
      <c r="U64" s="86"/>
      <c r="V64" s="86"/>
      <c r="W64" s="66">
        <f t="shared" si="2"/>
        <v>0</v>
      </c>
      <c r="X64" s="98"/>
      <c r="Y64" s="68">
        <f t="shared" si="3"/>
        <v>0</v>
      </c>
      <c r="Z64" s="68">
        <f t="shared" si="4"/>
        <v>0</v>
      </c>
      <c r="AA64" s="72"/>
      <c r="AB64" s="68">
        <f t="shared" si="7"/>
        <v>0</v>
      </c>
      <c r="AC64" s="68">
        <f t="shared" si="8"/>
        <v>0</v>
      </c>
      <c r="AD64" s="68"/>
      <c r="AE64" s="55"/>
      <c r="AF64" s="69">
        <f t="shared" si="5"/>
        <v>0</v>
      </c>
      <c r="AG64" s="86"/>
      <c r="AH64" s="108"/>
      <c r="AI64" s="108"/>
      <c r="AJ64" s="108"/>
      <c r="AK64" s="70">
        <f t="shared" si="6"/>
        <v>0</v>
      </c>
      <c r="AL64" s="71"/>
      <c r="AM64" s="48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</row>
    <row r="65" spans="1:151" s="75" customFormat="1" ht="15" customHeight="1" x14ac:dyDescent="0.3">
      <c r="A65" s="65"/>
      <c r="B65" s="109"/>
      <c r="C65" s="110"/>
      <c r="D65" s="110"/>
      <c r="E65" s="111"/>
      <c r="F65" s="85"/>
      <c r="G65" s="86"/>
      <c r="H65" s="86"/>
      <c r="I65" s="86"/>
      <c r="J65" s="86"/>
      <c r="K65" s="86"/>
      <c r="L65" s="86"/>
      <c r="M65" s="86"/>
      <c r="N65" s="86"/>
      <c r="O65" s="86"/>
      <c r="P65" s="86"/>
      <c r="Q65" s="67">
        <f t="shared" si="0"/>
        <v>0</v>
      </c>
      <c r="R65" s="67">
        <f t="shared" si="1"/>
        <v>0</v>
      </c>
      <c r="S65" s="86"/>
      <c r="T65" s="86"/>
      <c r="U65" s="86"/>
      <c r="V65" s="86"/>
      <c r="W65" s="66">
        <f t="shared" si="2"/>
        <v>0</v>
      </c>
      <c r="X65" s="98"/>
      <c r="Y65" s="68">
        <f t="shared" si="3"/>
        <v>0</v>
      </c>
      <c r="Z65" s="68">
        <f t="shared" si="4"/>
        <v>0</v>
      </c>
      <c r="AA65" s="72"/>
      <c r="AB65" s="68">
        <f t="shared" si="7"/>
        <v>0</v>
      </c>
      <c r="AC65" s="68">
        <f t="shared" si="8"/>
        <v>0</v>
      </c>
      <c r="AD65" s="68"/>
      <c r="AE65" s="55"/>
      <c r="AF65" s="69">
        <f t="shared" si="5"/>
        <v>0</v>
      </c>
      <c r="AG65" s="86"/>
      <c r="AH65" s="108"/>
      <c r="AI65" s="108"/>
      <c r="AJ65" s="108"/>
      <c r="AK65" s="70">
        <f t="shared" si="6"/>
        <v>0</v>
      </c>
      <c r="AL65" s="71"/>
      <c r="AM65" s="48"/>
      <c r="AN65" s="5"/>
      <c r="AO65" s="5"/>
      <c r="AP65" s="5"/>
      <c r="AQ65" s="5"/>
      <c r="AR65" s="7"/>
      <c r="AS65" s="7"/>
      <c r="AT65" s="7"/>
      <c r="AU65" s="7"/>
      <c r="AV65" s="7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  <c r="BR65"/>
      <c r="BS65"/>
      <c r="BT65"/>
      <c r="BU65"/>
      <c r="BV65"/>
      <c r="BW65"/>
      <c r="BX65"/>
      <c r="BY65"/>
      <c r="BZ65"/>
      <c r="CA65"/>
      <c r="CB65"/>
      <c r="CC65"/>
      <c r="CD65"/>
      <c r="CE65" s="1"/>
      <c r="CF65"/>
      <c r="CG65"/>
      <c r="CH65"/>
      <c r="CI65"/>
      <c r="CJ65"/>
      <c r="CK65"/>
      <c r="CL65"/>
      <c r="CM65"/>
      <c r="CN65"/>
      <c r="CO65"/>
      <c r="CP65"/>
      <c r="CQ65"/>
      <c r="CR65"/>
      <c r="CS65"/>
      <c r="CT65"/>
      <c r="CU65"/>
      <c r="CV65"/>
      <c r="CW65"/>
      <c r="CX65"/>
      <c r="CY65"/>
      <c r="CZ65"/>
      <c r="DA65"/>
      <c r="DB65"/>
      <c r="DC65"/>
      <c r="DD65"/>
      <c r="DE65"/>
      <c r="DF65"/>
      <c r="DG65"/>
      <c r="DH65"/>
      <c r="DI65"/>
      <c r="DJ65"/>
      <c r="DK65"/>
      <c r="DL65"/>
      <c r="DM65"/>
      <c r="DN65"/>
      <c r="DO65"/>
      <c r="DP65"/>
      <c r="DQ65"/>
      <c r="DR65"/>
      <c r="DS65"/>
      <c r="DT65"/>
      <c r="DU65"/>
      <c r="DV65"/>
      <c r="DW65"/>
      <c r="DX65"/>
      <c r="DY65"/>
      <c r="DZ65"/>
      <c r="EA65"/>
      <c r="EB65"/>
      <c r="EC65"/>
      <c r="ED65"/>
      <c r="EE65"/>
      <c r="EF65"/>
      <c r="EG65"/>
      <c r="EH65"/>
      <c r="EI65"/>
      <c r="EJ65"/>
      <c r="EK65"/>
      <c r="EL65"/>
      <c r="EM65"/>
      <c r="EN65"/>
      <c r="EO65"/>
      <c r="EP65"/>
      <c r="EQ65"/>
      <c r="ER65"/>
      <c r="ES65"/>
      <c r="ET65"/>
      <c r="EU65"/>
    </row>
    <row r="66" spans="1:151" ht="15" customHeight="1" x14ac:dyDescent="0.3">
      <c r="A66" s="65"/>
      <c r="B66" s="109"/>
      <c r="C66" s="110"/>
      <c r="D66" s="110"/>
      <c r="E66" s="111"/>
      <c r="F66" s="85"/>
      <c r="G66" s="86"/>
      <c r="H66" s="86"/>
      <c r="I66" s="86"/>
      <c r="J66" s="86"/>
      <c r="K66" s="86"/>
      <c r="L66" s="86"/>
      <c r="M66" s="86"/>
      <c r="N66" s="86"/>
      <c r="O66" s="86"/>
      <c r="P66" s="86"/>
      <c r="Q66" s="67">
        <f t="shared" si="0"/>
        <v>0</v>
      </c>
      <c r="R66" s="67">
        <f t="shared" si="1"/>
        <v>0</v>
      </c>
      <c r="S66" s="86"/>
      <c r="T66" s="86"/>
      <c r="U66" s="86"/>
      <c r="V66" s="86"/>
      <c r="W66" s="66">
        <f t="shared" si="2"/>
        <v>0</v>
      </c>
      <c r="X66" s="96"/>
      <c r="Y66" s="68">
        <f t="shared" si="3"/>
        <v>0</v>
      </c>
      <c r="Z66" s="68">
        <f t="shared" si="4"/>
        <v>0</v>
      </c>
      <c r="AA66" s="72"/>
      <c r="AB66" s="68">
        <f t="shared" si="7"/>
        <v>0</v>
      </c>
      <c r="AC66" s="68">
        <f t="shared" si="8"/>
        <v>0</v>
      </c>
      <c r="AD66" s="68"/>
      <c r="AE66" s="55"/>
      <c r="AF66" s="69">
        <f t="shared" si="5"/>
        <v>0</v>
      </c>
      <c r="AG66" s="86"/>
      <c r="AH66" s="108"/>
      <c r="AI66" s="108"/>
      <c r="AJ66" s="108"/>
      <c r="AK66" s="70">
        <f t="shared" si="6"/>
        <v>0</v>
      </c>
      <c r="AL66" s="71"/>
      <c r="AM66" s="48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</row>
    <row r="67" spans="1:151" s="42" customFormat="1" ht="15" customHeight="1" x14ac:dyDescent="0.3">
      <c r="A67" s="65"/>
      <c r="B67" s="109"/>
      <c r="C67" s="110"/>
      <c r="D67" s="110"/>
      <c r="E67" s="111"/>
      <c r="F67" s="85"/>
      <c r="G67" s="86"/>
      <c r="H67" s="86"/>
      <c r="I67" s="86"/>
      <c r="J67" s="86"/>
      <c r="K67" s="86"/>
      <c r="L67" s="86"/>
      <c r="M67" s="86"/>
      <c r="N67" s="86"/>
      <c r="O67" s="86"/>
      <c r="P67" s="86"/>
      <c r="Q67" s="67">
        <f t="shared" si="0"/>
        <v>0</v>
      </c>
      <c r="R67" s="67">
        <f t="shared" si="1"/>
        <v>0</v>
      </c>
      <c r="S67" s="86"/>
      <c r="T67" s="86"/>
      <c r="U67" s="86"/>
      <c r="V67" s="86"/>
      <c r="W67" s="66">
        <f t="shared" si="2"/>
        <v>0</v>
      </c>
      <c r="X67" s="98"/>
      <c r="Y67" s="68">
        <f t="shared" si="3"/>
        <v>0</v>
      </c>
      <c r="Z67" s="68">
        <f t="shared" si="4"/>
        <v>0</v>
      </c>
      <c r="AA67" s="72"/>
      <c r="AB67" s="68">
        <f t="shared" si="7"/>
        <v>0</v>
      </c>
      <c r="AC67" s="68">
        <f t="shared" si="8"/>
        <v>0</v>
      </c>
      <c r="AD67" s="68"/>
      <c r="AE67" s="55"/>
      <c r="AF67" s="69">
        <f t="shared" si="5"/>
        <v>0</v>
      </c>
      <c r="AG67" s="86"/>
      <c r="AH67" s="108"/>
      <c r="AI67" s="108"/>
      <c r="AJ67" s="108"/>
      <c r="AK67" s="70">
        <f t="shared" si="6"/>
        <v>0</v>
      </c>
      <c r="AL67" s="71"/>
      <c r="AM67" s="48"/>
      <c r="AN67" s="5"/>
      <c r="AO67" s="5"/>
      <c r="AP67" s="5"/>
      <c r="AQ67" s="5"/>
      <c r="AR67" s="7"/>
      <c r="AS67" s="7"/>
      <c r="AT67" s="7"/>
      <c r="AU67" s="7"/>
      <c r="AV67" s="7"/>
      <c r="AW67"/>
      <c r="AX67"/>
      <c r="AY67"/>
      <c r="AZ67"/>
      <c r="BA67"/>
      <c r="BB67"/>
      <c r="BC67"/>
      <c r="BD67"/>
      <c r="BE67"/>
      <c r="BF67"/>
      <c r="BG67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/>
      <c r="CG67"/>
      <c r="CH67"/>
      <c r="CI67"/>
      <c r="CJ67"/>
      <c r="CK67"/>
      <c r="CL67"/>
      <c r="CM67"/>
      <c r="CN67"/>
      <c r="CO67"/>
      <c r="CP67"/>
      <c r="CQ67"/>
      <c r="CR67"/>
      <c r="CS67"/>
      <c r="CT67"/>
      <c r="CU67"/>
      <c r="CV67"/>
      <c r="CW67"/>
      <c r="CX67"/>
      <c r="CY67"/>
      <c r="CZ67"/>
      <c r="DA67"/>
      <c r="DB67"/>
      <c r="DC67"/>
      <c r="DD67"/>
      <c r="DE67"/>
      <c r="DF67"/>
      <c r="DG67"/>
      <c r="DH67"/>
      <c r="DI67"/>
      <c r="DJ67"/>
      <c r="DK67"/>
      <c r="DL67"/>
      <c r="DM67"/>
      <c r="DN67"/>
      <c r="DO67"/>
      <c r="DP67"/>
      <c r="DQ67"/>
      <c r="DR67"/>
      <c r="DS67"/>
      <c r="DT67"/>
      <c r="DU67"/>
      <c r="DV67"/>
      <c r="DW67"/>
      <c r="DX67"/>
      <c r="DY67"/>
      <c r="DZ67"/>
      <c r="EA67"/>
      <c r="EB67"/>
      <c r="EC67"/>
      <c r="ED67"/>
      <c r="EE67"/>
      <c r="EF67"/>
      <c r="EG67"/>
      <c r="EH67"/>
      <c r="EI67"/>
      <c r="EJ67"/>
      <c r="EK67"/>
      <c r="EL67"/>
      <c r="EM67"/>
      <c r="EN67"/>
      <c r="EO67"/>
      <c r="EP67"/>
      <c r="EQ67"/>
      <c r="ER67"/>
      <c r="ES67"/>
      <c r="ET67"/>
      <c r="EU67"/>
    </row>
    <row r="68" spans="1:151" ht="15" customHeight="1" x14ac:dyDescent="0.3">
      <c r="A68" s="65"/>
      <c r="B68" s="109"/>
      <c r="C68" s="110"/>
      <c r="D68" s="110"/>
      <c r="E68" s="111"/>
      <c r="F68" s="85" t="s">
        <v>53</v>
      </c>
      <c r="G68" s="86"/>
      <c r="H68" s="86"/>
      <c r="I68" s="86"/>
      <c r="J68" s="86"/>
      <c r="K68" s="86"/>
      <c r="L68" s="86"/>
      <c r="M68" s="86"/>
      <c r="N68" s="86"/>
      <c r="O68" s="86"/>
      <c r="P68" s="89"/>
      <c r="Q68" s="67">
        <f t="shared" si="0"/>
        <v>0</v>
      </c>
      <c r="R68" s="67">
        <f t="shared" si="1"/>
        <v>0</v>
      </c>
      <c r="S68" s="86"/>
      <c r="T68" s="86"/>
      <c r="U68" s="86"/>
      <c r="V68" s="86"/>
      <c r="W68" s="66">
        <f t="shared" si="2"/>
        <v>0</v>
      </c>
      <c r="X68" s="97"/>
      <c r="Y68" s="68">
        <f t="shared" si="3"/>
        <v>0</v>
      </c>
      <c r="Z68" s="68">
        <f t="shared" si="4"/>
        <v>0</v>
      </c>
      <c r="AA68" s="72"/>
      <c r="AB68" s="68">
        <f t="shared" si="7"/>
        <v>0</v>
      </c>
      <c r="AC68" s="68">
        <f t="shared" si="8"/>
        <v>0</v>
      </c>
      <c r="AD68" s="68"/>
      <c r="AE68" s="55"/>
      <c r="AF68" s="69">
        <f t="shared" si="5"/>
        <v>0</v>
      </c>
      <c r="AG68" s="86"/>
      <c r="AH68" s="108"/>
      <c r="AI68" s="108"/>
      <c r="AJ68" s="108"/>
      <c r="AK68" s="70">
        <f t="shared" si="6"/>
        <v>0</v>
      </c>
      <c r="AL68" s="71"/>
      <c r="AM68" s="48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</row>
    <row r="69" spans="1:151" ht="15" customHeight="1" x14ac:dyDescent="0.3">
      <c r="A69" s="65"/>
      <c r="B69" s="109"/>
      <c r="C69" s="110"/>
      <c r="D69" s="110"/>
      <c r="E69" s="111"/>
      <c r="F69" s="95"/>
      <c r="G69" s="86"/>
      <c r="H69" s="86"/>
      <c r="I69" s="86"/>
      <c r="J69" s="86"/>
      <c r="K69" s="86"/>
      <c r="L69" s="86"/>
      <c r="M69" s="86"/>
      <c r="N69" s="86"/>
      <c r="O69" s="86"/>
      <c r="P69" s="89"/>
      <c r="Q69" s="67">
        <f t="shared" si="0"/>
        <v>0</v>
      </c>
      <c r="R69" s="67">
        <f t="shared" si="1"/>
        <v>0</v>
      </c>
      <c r="S69" s="86"/>
      <c r="T69" s="86"/>
      <c r="U69" s="86"/>
      <c r="V69" s="86"/>
      <c r="W69" s="66">
        <f t="shared" si="2"/>
        <v>0</v>
      </c>
      <c r="X69" s="97"/>
      <c r="Y69" s="68">
        <f t="shared" si="3"/>
        <v>0</v>
      </c>
      <c r="Z69" s="68">
        <f t="shared" si="4"/>
        <v>0</v>
      </c>
      <c r="AA69" s="72"/>
      <c r="AB69" s="68">
        <f t="shared" si="7"/>
        <v>0</v>
      </c>
      <c r="AC69" s="68">
        <f t="shared" si="8"/>
        <v>0</v>
      </c>
      <c r="AD69" s="68"/>
      <c r="AE69" s="55"/>
      <c r="AF69" s="69">
        <f t="shared" si="5"/>
        <v>0</v>
      </c>
      <c r="AG69" s="86"/>
      <c r="AH69" s="108"/>
      <c r="AI69" s="108"/>
      <c r="AJ69" s="108"/>
      <c r="AK69" s="70">
        <f t="shared" si="6"/>
        <v>0</v>
      </c>
      <c r="AL69" s="71"/>
      <c r="AM69" s="48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</row>
    <row r="70" spans="1:151" ht="15" customHeight="1" x14ac:dyDescent="0.3">
      <c r="A70" s="65"/>
      <c r="B70" s="109"/>
      <c r="C70" s="110"/>
      <c r="D70" s="110"/>
      <c r="E70" s="111"/>
      <c r="F70" s="95"/>
      <c r="G70" s="86"/>
      <c r="H70" s="86"/>
      <c r="I70" s="86"/>
      <c r="J70" s="86"/>
      <c r="K70" s="86"/>
      <c r="L70" s="86"/>
      <c r="M70" s="86"/>
      <c r="N70" s="86"/>
      <c r="O70" s="86"/>
      <c r="P70" s="89"/>
      <c r="Q70" s="67">
        <f t="shared" si="0"/>
        <v>0</v>
      </c>
      <c r="R70" s="67">
        <f t="shared" si="1"/>
        <v>0</v>
      </c>
      <c r="S70" s="86"/>
      <c r="T70" s="86"/>
      <c r="U70" s="86"/>
      <c r="V70" s="86"/>
      <c r="W70" s="66">
        <f t="shared" si="2"/>
        <v>0</v>
      </c>
      <c r="X70" s="97"/>
      <c r="Y70" s="68">
        <f t="shared" si="3"/>
        <v>0</v>
      </c>
      <c r="Z70" s="68">
        <f t="shared" si="4"/>
        <v>0</v>
      </c>
      <c r="AA70" s="72"/>
      <c r="AB70" s="68">
        <f t="shared" si="7"/>
        <v>0</v>
      </c>
      <c r="AC70" s="68">
        <f t="shared" si="8"/>
        <v>0</v>
      </c>
      <c r="AD70" s="68"/>
      <c r="AE70" s="55"/>
      <c r="AF70" s="69">
        <f t="shared" si="5"/>
        <v>0</v>
      </c>
      <c r="AG70" s="86"/>
      <c r="AH70" s="108"/>
      <c r="AI70" s="108"/>
      <c r="AJ70" s="108"/>
      <c r="AK70" s="70">
        <f t="shared" si="6"/>
        <v>0</v>
      </c>
      <c r="AL70" s="71"/>
      <c r="AM70" s="48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</row>
    <row r="71" spans="1:151" ht="15" customHeight="1" x14ac:dyDescent="0.3">
      <c r="A71" s="65"/>
      <c r="B71" s="109"/>
      <c r="C71" s="110"/>
      <c r="D71" s="110"/>
      <c r="E71" s="111"/>
      <c r="F71" s="95"/>
      <c r="G71" s="86"/>
      <c r="H71" s="86"/>
      <c r="I71" s="86"/>
      <c r="J71" s="86"/>
      <c r="K71" s="86"/>
      <c r="L71" s="86"/>
      <c r="M71" s="86"/>
      <c r="N71" s="86"/>
      <c r="O71" s="86"/>
      <c r="P71" s="89"/>
      <c r="Q71" s="67">
        <f t="shared" ref="Q71:Q75" si="9">P71*0.02</f>
        <v>0</v>
      </c>
      <c r="R71" s="67">
        <f t="shared" ref="R71:R75" si="10">P71+Q71</f>
        <v>0</v>
      </c>
      <c r="S71" s="86"/>
      <c r="T71" s="86"/>
      <c r="U71" s="86"/>
      <c r="V71" s="86"/>
      <c r="W71" s="66">
        <f t="shared" ref="W71:W75" si="11">G71+I71+K71+M71+O71+R71+S71+T71+U71+V71</f>
        <v>0</v>
      </c>
      <c r="X71" s="97"/>
      <c r="Y71" s="68">
        <f t="shared" ref="Y71:Y75" si="12">X71*0.02</f>
        <v>0</v>
      </c>
      <c r="Z71" s="68">
        <f t="shared" ref="Z71:Z75" si="13">X71+Y71</f>
        <v>0</v>
      </c>
      <c r="AA71" s="72"/>
      <c r="AB71" s="68">
        <f t="shared" si="7"/>
        <v>0</v>
      </c>
      <c r="AC71" s="68">
        <f t="shared" si="8"/>
        <v>0</v>
      </c>
      <c r="AD71" s="68"/>
      <c r="AE71" s="55"/>
      <c r="AF71" s="69">
        <f t="shared" si="5"/>
        <v>0</v>
      </c>
      <c r="AG71" s="86"/>
      <c r="AH71" s="108"/>
      <c r="AI71" s="108"/>
      <c r="AJ71" s="108"/>
      <c r="AK71" s="70">
        <f t="shared" ref="AK71:AK136" si="14">AF71-AG71-AH71-AI71-AJ71</f>
        <v>0</v>
      </c>
      <c r="AL71" s="71"/>
      <c r="AM71" s="48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</row>
    <row r="72" spans="1:151" ht="15" customHeight="1" x14ac:dyDescent="0.3">
      <c r="A72" s="65"/>
      <c r="B72" s="109"/>
      <c r="C72" s="110"/>
      <c r="D72" s="110"/>
      <c r="E72" s="111"/>
      <c r="F72" s="95"/>
      <c r="G72" s="86"/>
      <c r="H72" s="86"/>
      <c r="I72" s="86"/>
      <c r="J72" s="86"/>
      <c r="K72" s="86"/>
      <c r="L72" s="86"/>
      <c r="M72" s="86"/>
      <c r="N72" s="86"/>
      <c r="O72" s="86"/>
      <c r="P72" s="89"/>
      <c r="Q72" s="67">
        <f t="shared" si="9"/>
        <v>0</v>
      </c>
      <c r="R72" s="67">
        <f t="shared" si="10"/>
        <v>0</v>
      </c>
      <c r="S72" s="86"/>
      <c r="T72" s="86"/>
      <c r="U72" s="86"/>
      <c r="V72" s="86"/>
      <c r="W72" s="66">
        <f t="shared" si="11"/>
        <v>0</v>
      </c>
      <c r="X72" s="97"/>
      <c r="Y72" s="68">
        <f t="shared" si="12"/>
        <v>0</v>
      </c>
      <c r="Z72" s="68">
        <f t="shared" si="13"/>
        <v>0</v>
      </c>
      <c r="AA72" s="72"/>
      <c r="AB72" s="68">
        <f t="shared" si="7"/>
        <v>0</v>
      </c>
      <c r="AC72" s="68">
        <f t="shared" si="8"/>
        <v>0</v>
      </c>
      <c r="AD72" s="68"/>
      <c r="AE72" s="55"/>
      <c r="AF72" s="69">
        <f t="shared" si="5"/>
        <v>0</v>
      </c>
      <c r="AG72" s="86"/>
      <c r="AH72" s="108"/>
      <c r="AI72" s="108"/>
      <c r="AJ72" s="108"/>
      <c r="AK72" s="70">
        <f t="shared" si="14"/>
        <v>0</v>
      </c>
      <c r="AL72" s="71"/>
      <c r="AM72" s="48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</row>
    <row r="73" spans="1:151" ht="15" customHeight="1" thickBot="1" x14ac:dyDescent="0.35">
      <c r="A73" s="65"/>
      <c r="B73" s="109"/>
      <c r="C73" s="110"/>
      <c r="D73" s="110"/>
      <c r="E73" s="111"/>
      <c r="F73" s="95"/>
      <c r="G73" s="86"/>
      <c r="H73" s="86"/>
      <c r="I73" s="86"/>
      <c r="J73" s="86"/>
      <c r="K73" s="86"/>
      <c r="L73" s="86"/>
      <c r="M73" s="86"/>
      <c r="N73" s="86"/>
      <c r="O73" s="86"/>
      <c r="P73" s="89"/>
      <c r="Q73" s="67">
        <f t="shared" si="9"/>
        <v>0</v>
      </c>
      <c r="R73" s="67">
        <f t="shared" si="10"/>
        <v>0</v>
      </c>
      <c r="S73" s="86"/>
      <c r="T73" s="86"/>
      <c r="U73" s="86"/>
      <c r="V73" s="86"/>
      <c r="W73" s="66">
        <f t="shared" si="11"/>
        <v>0</v>
      </c>
      <c r="X73" s="97"/>
      <c r="Y73" s="68">
        <f t="shared" si="12"/>
        <v>0</v>
      </c>
      <c r="Z73" s="68">
        <f t="shared" si="13"/>
        <v>0</v>
      </c>
      <c r="AA73" s="72"/>
      <c r="AB73" s="68">
        <f t="shared" si="7"/>
        <v>0</v>
      </c>
      <c r="AC73" s="68">
        <f t="shared" si="8"/>
        <v>0</v>
      </c>
      <c r="AD73" s="68"/>
      <c r="AE73" s="55"/>
      <c r="AF73" s="69">
        <f t="shared" si="5"/>
        <v>0</v>
      </c>
      <c r="AG73" s="86"/>
      <c r="AH73" s="108"/>
      <c r="AI73" s="108"/>
      <c r="AJ73" s="108"/>
      <c r="AK73" s="70">
        <f t="shared" si="14"/>
        <v>0</v>
      </c>
      <c r="AL73" s="71"/>
      <c r="AM73" s="48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</row>
    <row r="74" spans="1:151" ht="15" customHeight="1" thickBot="1" x14ac:dyDescent="0.35">
      <c r="A74" s="76" t="s">
        <v>54</v>
      </c>
      <c r="B74" s="77"/>
      <c r="C74" s="78"/>
      <c r="D74" s="77"/>
      <c r="E74" s="79"/>
      <c r="F74" s="80"/>
      <c r="G74" s="81">
        <f>SUM(G7:G73)</f>
        <v>0</v>
      </c>
      <c r="H74" s="81"/>
      <c r="I74" s="81">
        <f t="shared" ref="I74:AK74" si="15">SUM(I7:I73)</f>
        <v>0</v>
      </c>
      <c r="J74" s="81">
        <f t="shared" si="15"/>
        <v>0</v>
      </c>
      <c r="K74" s="81">
        <f t="shared" si="15"/>
        <v>0</v>
      </c>
      <c r="L74" s="81">
        <f t="shared" si="15"/>
        <v>0</v>
      </c>
      <c r="M74" s="81">
        <f t="shared" si="15"/>
        <v>0</v>
      </c>
      <c r="N74" s="81">
        <f t="shared" si="15"/>
        <v>0</v>
      </c>
      <c r="O74" s="81">
        <f t="shared" si="15"/>
        <v>0</v>
      </c>
      <c r="P74" s="81">
        <f t="shared" si="15"/>
        <v>0</v>
      </c>
      <c r="Q74" s="81">
        <f t="shared" si="15"/>
        <v>0</v>
      </c>
      <c r="R74" s="81">
        <f t="shared" si="15"/>
        <v>0</v>
      </c>
      <c r="S74" s="81">
        <f t="shared" si="15"/>
        <v>0</v>
      </c>
      <c r="T74" s="81">
        <f t="shared" si="15"/>
        <v>0</v>
      </c>
      <c r="U74" s="81">
        <f t="shared" si="15"/>
        <v>0</v>
      </c>
      <c r="V74" s="81">
        <f t="shared" si="15"/>
        <v>0</v>
      </c>
      <c r="W74" s="81">
        <f t="shared" si="15"/>
        <v>0</v>
      </c>
      <c r="X74" s="81">
        <f t="shared" si="15"/>
        <v>0</v>
      </c>
      <c r="Y74" s="81">
        <f t="shared" si="15"/>
        <v>0</v>
      </c>
      <c r="Z74" s="81">
        <f t="shared" si="15"/>
        <v>0</v>
      </c>
      <c r="AA74" s="81">
        <f t="shared" si="15"/>
        <v>0</v>
      </c>
      <c r="AB74" s="81">
        <f t="shared" si="15"/>
        <v>0</v>
      </c>
      <c r="AC74" s="81">
        <f t="shared" si="15"/>
        <v>0</v>
      </c>
      <c r="AD74" s="81">
        <f t="shared" si="15"/>
        <v>0</v>
      </c>
      <c r="AE74" s="81">
        <f t="shared" si="15"/>
        <v>0</v>
      </c>
      <c r="AF74" s="81">
        <f t="shared" si="15"/>
        <v>0</v>
      </c>
      <c r="AG74" s="81">
        <f t="shared" si="15"/>
        <v>0</v>
      </c>
      <c r="AH74" s="81">
        <f t="shared" si="15"/>
        <v>0</v>
      </c>
      <c r="AI74" s="81">
        <f t="shared" si="15"/>
        <v>0</v>
      </c>
      <c r="AJ74" s="81">
        <f t="shared" si="15"/>
        <v>0</v>
      </c>
      <c r="AK74" s="81">
        <f t="shared" si="15"/>
        <v>0</v>
      </c>
      <c r="AL74" s="82" t="s">
        <v>54</v>
      </c>
      <c r="AM74" s="83"/>
      <c r="AN74" s="5"/>
      <c r="AO74" s="5"/>
      <c r="AP74" s="5"/>
      <c r="AQ74" s="5"/>
      <c r="AR74" s="7"/>
      <c r="AS74" s="7"/>
      <c r="AT74" s="7"/>
      <c r="AU74" s="7"/>
      <c r="AV74" s="7"/>
      <c r="CE74" s="1"/>
    </row>
    <row r="75" spans="1:151" x14ac:dyDescent="0.3">
      <c r="AG75" s="84"/>
    </row>
    <row r="76" spans="1:151" x14ac:dyDescent="0.3">
      <c r="AG76" s="84"/>
    </row>
    <row r="77" spans="1:151" x14ac:dyDescent="0.3">
      <c r="AG77" s="84"/>
    </row>
    <row r="78" spans="1:151" x14ac:dyDescent="0.3">
      <c r="AG78" s="84"/>
    </row>
    <row r="79" spans="1:151" x14ac:dyDescent="0.3">
      <c r="AG79" s="84"/>
    </row>
    <row r="80" spans="1:151" x14ac:dyDescent="0.3">
      <c r="AG80" s="84"/>
    </row>
    <row r="81" spans="33:33" x14ac:dyDescent="0.3">
      <c r="AG81" s="84"/>
    </row>
    <row r="82" spans="33:33" x14ac:dyDescent="0.3">
      <c r="AG82" s="84"/>
    </row>
    <row r="83" spans="33:33" x14ac:dyDescent="0.3">
      <c r="AG83" s="84"/>
    </row>
    <row r="84" spans="33:33" x14ac:dyDescent="0.3">
      <c r="AG84" s="84"/>
    </row>
    <row r="85" spans="33:33" x14ac:dyDescent="0.3">
      <c r="AG85" s="84"/>
    </row>
    <row r="86" spans="33:33" x14ac:dyDescent="0.3">
      <c r="AG86" s="84"/>
    </row>
    <row r="87" spans="33:33" x14ac:dyDescent="0.3">
      <c r="AG87" s="84"/>
    </row>
    <row r="88" spans="33:33" x14ac:dyDescent="0.3">
      <c r="AG88" s="84"/>
    </row>
    <row r="89" spans="33:33" x14ac:dyDescent="0.3">
      <c r="AG89" s="84"/>
    </row>
    <row r="90" spans="33:33" x14ac:dyDescent="0.3">
      <c r="AG90" s="84"/>
    </row>
    <row r="91" spans="33:33" x14ac:dyDescent="0.3">
      <c r="AG91" s="84"/>
    </row>
    <row r="92" spans="33:33" x14ac:dyDescent="0.3">
      <c r="AG92" s="84"/>
    </row>
    <row r="93" spans="33:33" x14ac:dyDescent="0.3">
      <c r="AG93" s="84"/>
    </row>
    <row r="94" spans="33:33" x14ac:dyDescent="0.3">
      <c r="AG94" s="84"/>
    </row>
    <row r="95" spans="33:33" x14ac:dyDescent="0.3">
      <c r="AG95" s="84"/>
    </row>
    <row r="96" spans="33:33" x14ac:dyDescent="0.3">
      <c r="AG96" s="84"/>
    </row>
    <row r="97" spans="33:33" x14ac:dyDescent="0.3">
      <c r="AG97" s="84"/>
    </row>
    <row r="98" spans="33:33" x14ac:dyDescent="0.3">
      <c r="AG98" s="84"/>
    </row>
    <row r="99" spans="33:33" x14ac:dyDescent="0.3">
      <c r="AG99" s="84"/>
    </row>
    <row r="100" spans="33:33" x14ac:dyDescent="0.3">
      <c r="AG100" s="84"/>
    </row>
    <row r="101" spans="33:33" x14ac:dyDescent="0.3">
      <c r="AG101" s="84"/>
    </row>
    <row r="102" spans="33:33" x14ac:dyDescent="0.3">
      <c r="AG102" s="84"/>
    </row>
    <row r="103" spans="33:33" x14ac:dyDescent="0.3">
      <c r="AG103" s="84"/>
    </row>
    <row r="104" spans="33:33" x14ac:dyDescent="0.3">
      <c r="AG104" s="84"/>
    </row>
    <row r="105" spans="33:33" x14ac:dyDescent="0.3">
      <c r="AG105" s="84"/>
    </row>
    <row r="106" spans="33:33" x14ac:dyDescent="0.3">
      <c r="AG106" s="84"/>
    </row>
    <row r="107" spans="33:33" x14ac:dyDescent="0.3">
      <c r="AG107" s="84"/>
    </row>
    <row r="108" spans="33:33" x14ac:dyDescent="0.3">
      <c r="AG108" s="84"/>
    </row>
    <row r="109" spans="33:33" x14ac:dyDescent="0.3">
      <c r="AG109" s="84"/>
    </row>
    <row r="110" spans="33:33" x14ac:dyDescent="0.3">
      <c r="AG110" s="84"/>
    </row>
    <row r="111" spans="33:33" x14ac:dyDescent="0.3">
      <c r="AG111" s="84"/>
    </row>
    <row r="112" spans="33:33" x14ac:dyDescent="0.3">
      <c r="AG112" s="84"/>
    </row>
    <row r="113" spans="33:33" x14ac:dyDescent="0.3">
      <c r="AG113" s="84"/>
    </row>
    <row r="114" spans="33:33" x14ac:dyDescent="0.3">
      <c r="AG114" s="84"/>
    </row>
    <row r="115" spans="33:33" x14ac:dyDescent="0.3">
      <c r="AG115" s="84"/>
    </row>
    <row r="116" spans="33:33" x14ac:dyDescent="0.3">
      <c r="AG116" s="84"/>
    </row>
    <row r="117" spans="33:33" x14ac:dyDescent="0.3">
      <c r="AG117" s="84"/>
    </row>
    <row r="118" spans="33:33" x14ac:dyDescent="0.3">
      <c r="AG118" s="84"/>
    </row>
    <row r="119" spans="33:33" x14ac:dyDescent="0.3">
      <c r="AG119" s="84"/>
    </row>
    <row r="120" spans="33:33" x14ac:dyDescent="0.3">
      <c r="AG120" s="84"/>
    </row>
    <row r="121" spans="33:33" x14ac:dyDescent="0.3">
      <c r="AG121" s="84"/>
    </row>
    <row r="122" spans="33:33" x14ac:dyDescent="0.3">
      <c r="AG122" s="84"/>
    </row>
    <row r="123" spans="33:33" x14ac:dyDescent="0.3">
      <c r="AG123" s="84"/>
    </row>
    <row r="124" spans="33:33" x14ac:dyDescent="0.3">
      <c r="AG124" s="84"/>
    </row>
    <row r="125" spans="33:33" x14ac:dyDescent="0.3">
      <c r="AG125" s="84"/>
    </row>
    <row r="126" spans="33:33" x14ac:dyDescent="0.3">
      <c r="AG126" s="84"/>
    </row>
    <row r="127" spans="33:33" x14ac:dyDescent="0.3">
      <c r="AG127" s="84"/>
    </row>
    <row r="128" spans="33:33" x14ac:dyDescent="0.3">
      <c r="AG128" s="84"/>
    </row>
    <row r="129" spans="33:33" x14ac:dyDescent="0.3">
      <c r="AG129" s="84"/>
    </row>
    <row r="130" spans="33:33" x14ac:dyDescent="0.3">
      <c r="AG130" s="84"/>
    </row>
    <row r="131" spans="33:33" x14ac:dyDescent="0.3">
      <c r="AG131" s="84"/>
    </row>
    <row r="132" spans="33:33" x14ac:dyDescent="0.3">
      <c r="AG132" s="84"/>
    </row>
    <row r="133" spans="33:33" x14ac:dyDescent="0.3">
      <c r="AG133" s="84"/>
    </row>
    <row r="134" spans="33:33" x14ac:dyDescent="0.3">
      <c r="AG134" s="84"/>
    </row>
    <row r="135" spans="33:33" x14ac:dyDescent="0.3">
      <c r="AG135" s="84"/>
    </row>
    <row r="136" spans="33:33" x14ac:dyDescent="0.3">
      <c r="AG136" s="84"/>
    </row>
    <row r="137" spans="33:33" x14ac:dyDescent="0.3">
      <c r="AG137" s="84"/>
    </row>
    <row r="138" spans="33:33" x14ac:dyDescent="0.3">
      <c r="AG138" s="84"/>
    </row>
    <row r="139" spans="33:33" x14ac:dyDescent="0.3">
      <c r="AG139" s="84"/>
    </row>
    <row r="140" spans="33:33" x14ac:dyDescent="0.3">
      <c r="AG140" s="84"/>
    </row>
    <row r="141" spans="33:33" x14ac:dyDescent="0.3">
      <c r="AG141" s="84"/>
    </row>
    <row r="142" spans="33:33" x14ac:dyDescent="0.3">
      <c r="AG142" s="84"/>
    </row>
    <row r="143" spans="33:33" x14ac:dyDescent="0.3">
      <c r="AG143" s="84"/>
    </row>
    <row r="144" spans="33:33" x14ac:dyDescent="0.3">
      <c r="AG144" s="84"/>
    </row>
    <row r="145" spans="33:33" x14ac:dyDescent="0.3">
      <c r="AG145" s="84"/>
    </row>
    <row r="146" spans="33:33" x14ac:dyDescent="0.3">
      <c r="AG146" s="84"/>
    </row>
    <row r="147" spans="33:33" x14ac:dyDescent="0.3">
      <c r="AG147" s="84"/>
    </row>
    <row r="148" spans="33:33" x14ac:dyDescent="0.3">
      <c r="AG148" s="84"/>
    </row>
    <row r="149" spans="33:33" x14ac:dyDescent="0.3">
      <c r="AG149" s="84"/>
    </row>
    <row r="150" spans="33:33" x14ac:dyDescent="0.3">
      <c r="AG150" s="84"/>
    </row>
    <row r="151" spans="33:33" x14ac:dyDescent="0.3">
      <c r="AG151" s="84"/>
    </row>
    <row r="152" spans="33:33" x14ac:dyDescent="0.3">
      <c r="AG152" s="84"/>
    </row>
    <row r="153" spans="33:33" x14ac:dyDescent="0.3">
      <c r="AG153" s="84"/>
    </row>
    <row r="154" spans="33:33" x14ac:dyDescent="0.3">
      <c r="AG154" s="84"/>
    </row>
    <row r="155" spans="33:33" x14ac:dyDescent="0.3">
      <c r="AG155" s="84"/>
    </row>
    <row r="156" spans="33:33" x14ac:dyDescent="0.3">
      <c r="AG156" s="84"/>
    </row>
    <row r="157" spans="33:33" x14ac:dyDescent="0.3">
      <c r="AG157" s="84"/>
    </row>
    <row r="158" spans="33:33" x14ac:dyDescent="0.3">
      <c r="AG158" s="84"/>
    </row>
    <row r="159" spans="33:33" x14ac:dyDescent="0.3">
      <c r="AG159" s="84"/>
    </row>
    <row r="160" spans="33:33" x14ac:dyDescent="0.3">
      <c r="AG160" s="84"/>
    </row>
    <row r="161" spans="33:33" x14ac:dyDescent="0.3">
      <c r="AG161" s="84"/>
    </row>
    <row r="162" spans="33:33" x14ac:dyDescent="0.3">
      <c r="AG162" s="84"/>
    </row>
    <row r="163" spans="33:33" x14ac:dyDescent="0.3">
      <c r="AG163" s="84"/>
    </row>
    <row r="164" spans="33:33" x14ac:dyDescent="0.3">
      <c r="AG164" s="84"/>
    </row>
    <row r="165" spans="33:33" x14ac:dyDescent="0.3">
      <c r="AG165" s="84"/>
    </row>
    <row r="166" spans="33:33" x14ac:dyDescent="0.3">
      <c r="AG166" s="84"/>
    </row>
    <row r="167" spans="33:33" x14ac:dyDescent="0.3">
      <c r="AG167" s="84"/>
    </row>
    <row r="168" spans="33:33" x14ac:dyDescent="0.3">
      <c r="AG168" s="84"/>
    </row>
    <row r="169" spans="33:33" x14ac:dyDescent="0.3">
      <c r="AG169" s="84"/>
    </row>
    <row r="170" spans="33:33" x14ac:dyDescent="0.3">
      <c r="AG170" s="84"/>
    </row>
    <row r="171" spans="33:33" x14ac:dyDescent="0.3">
      <c r="AG171" s="84"/>
    </row>
    <row r="172" spans="33:33" x14ac:dyDescent="0.3">
      <c r="AG172" s="84"/>
    </row>
    <row r="173" spans="33:33" x14ac:dyDescent="0.3">
      <c r="AG173" s="84"/>
    </row>
    <row r="174" spans="33:33" x14ac:dyDescent="0.3">
      <c r="AG174" s="84"/>
    </row>
    <row r="175" spans="33:33" x14ac:dyDescent="0.3">
      <c r="AG175" s="84"/>
    </row>
    <row r="176" spans="33:33" x14ac:dyDescent="0.3">
      <c r="AG176" s="84"/>
    </row>
    <row r="177" spans="33:33" x14ac:dyDescent="0.3">
      <c r="AG177" s="84"/>
    </row>
    <row r="178" spans="33:33" x14ac:dyDescent="0.3">
      <c r="AG178" s="84"/>
    </row>
    <row r="179" spans="33:33" x14ac:dyDescent="0.3">
      <c r="AG179" s="84"/>
    </row>
    <row r="180" spans="33:33" x14ac:dyDescent="0.3">
      <c r="AG180" s="84"/>
    </row>
    <row r="181" spans="33:33" x14ac:dyDescent="0.3">
      <c r="AG181" s="84"/>
    </row>
    <row r="182" spans="33:33" x14ac:dyDescent="0.3">
      <c r="AG182" s="84"/>
    </row>
    <row r="183" spans="33:33" x14ac:dyDescent="0.3">
      <c r="AG183" s="84"/>
    </row>
    <row r="184" spans="33:33" x14ac:dyDescent="0.3">
      <c r="AG184" s="84"/>
    </row>
    <row r="185" spans="33:33" x14ac:dyDescent="0.3">
      <c r="AG185" s="84"/>
    </row>
    <row r="186" spans="33:33" x14ac:dyDescent="0.3">
      <c r="AG186" s="84"/>
    </row>
    <row r="187" spans="33:33" x14ac:dyDescent="0.3">
      <c r="AG187" s="84"/>
    </row>
    <row r="188" spans="33:33" x14ac:dyDescent="0.3">
      <c r="AG188" s="84"/>
    </row>
    <row r="189" spans="33:33" x14ac:dyDescent="0.3">
      <c r="AG189" s="84"/>
    </row>
    <row r="190" spans="33:33" x14ac:dyDescent="0.3">
      <c r="AG190" s="84"/>
    </row>
    <row r="191" spans="33:33" x14ac:dyDescent="0.3">
      <c r="AG191" s="84"/>
    </row>
    <row r="192" spans="33:33" x14ac:dyDescent="0.3">
      <c r="AG192" s="84"/>
    </row>
    <row r="193" spans="33:33" x14ac:dyDescent="0.3">
      <c r="AG193" s="84"/>
    </row>
    <row r="194" spans="33:33" x14ac:dyDescent="0.3">
      <c r="AG194" s="84"/>
    </row>
    <row r="195" spans="33:33" x14ac:dyDescent="0.3">
      <c r="AG195" s="84"/>
    </row>
    <row r="196" spans="33:33" x14ac:dyDescent="0.3">
      <c r="AG196" s="84"/>
    </row>
    <row r="197" spans="33:33" x14ac:dyDescent="0.3">
      <c r="AG197" s="84"/>
    </row>
    <row r="198" spans="33:33" x14ac:dyDescent="0.3">
      <c r="AG198" s="84"/>
    </row>
    <row r="199" spans="33:33" x14ac:dyDescent="0.3">
      <c r="AG199" s="84"/>
    </row>
    <row r="200" spans="33:33" x14ac:dyDescent="0.3">
      <c r="AG200" s="84"/>
    </row>
    <row r="201" spans="33:33" x14ac:dyDescent="0.3">
      <c r="AG201" s="84"/>
    </row>
    <row r="202" spans="33:33" x14ac:dyDescent="0.3">
      <c r="AG202" s="84"/>
    </row>
    <row r="203" spans="33:33" x14ac:dyDescent="0.3">
      <c r="AG203" s="84"/>
    </row>
    <row r="204" spans="33:33" x14ac:dyDescent="0.3">
      <c r="AG204" s="84"/>
    </row>
    <row r="205" spans="33:33" x14ac:dyDescent="0.3">
      <c r="AG205" s="84"/>
    </row>
    <row r="206" spans="33:33" x14ac:dyDescent="0.3">
      <c r="AG206" s="84"/>
    </row>
    <row r="207" spans="33:33" x14ac:dyDescent="0.3">
      <c r="AG207" s="84"/>
    </row>
    <row r="208" spans="33:33" x14ac:dyDescent="0.3">
      <c r="AG208" s="84"/>
    </row>
    <row r="209" spans="33:33" x14ac:dyDescent="0.3">
      <c r="AG209" s="84"/>
    </row>
    <row r="210" spans="33:33" x14ac:dyDescent="0.3">
      <c r="AG210" s="84"/>
    </row>
    <row r="211" spans="33:33" x14ac:dyDescent="0.3">
      <c r="AG211" s="84"/>
    </row>
    <row r="212" spans="33:33" x14ac:dyDescent="0.3">
      <c r="AG212" s="84"/>
    </row>
    <row r="213" spans="33:33" x14ac:dyDescent="0.3">
      <c r="AG213" s="84"/>
    </row>
    <row r="214" spans="33:33" x14ac:dyDescent="0.3">
      <c r="AG214" s="84"/>
    </row>
    <row r="215" spans="33:33" x14ac:dyDescent="0.3">
      <c r="AG215" s="84"/>
    </row>
    <row r="216" spans="33:33" x14ac:dyDescent="0.3">
      <c r="AG216" s="84"/>
    </row>
    <row r="217" spans="33:33" x14ac:dyDescent="0.3">
      <c r="AG217" s="84"/>
    </row>
    <row r="218" spans="33:33" x14ac:dyDescent="0.3">
      <c r="AG218" s="84"/>
    </row>
    <row r="219" spans="33:33" x14ac:dyDescent="0.3">
      <c r="AG219" s="84"/>
    </row>
    <row r="220" spans="33:33" x14ac:dyDescent="0.3">
      <c r="AG220" s="84"/>
    </row>
    <row r="221" spans="33:33" x14ac:dyDescent="0.3">
      <c r="AG221" s="84"/>
    </row>
    <row r="222" spans="33:33" x14ac:dyDescent="0.3">
      <c r="AG222" s="84"/>
    </row>
    <row r="223" spans="33:33" x14ac:dyDescent="0.3">
      <c r="AG223" s="84"/>
    </row>
    <row r="224" spans="33:33" x14ac:dyDescent="0.3">
      <c r="AG224" s="84"/>
    </row>
    <row r="225" spans="33:33" x14ac:dyDescent="0.3">
      <c r="AG225" s="84"/>
    </row>
    <row r="226" spans="33:33" x14ac:dyDescent="0.3">
      <c r="AG226" s="84"/>
    </row>
    <row r="227" spans="33:33" x14ac:dyDescent="0.3">
      <c r="AG227" s="84"/>
    </row>
    <row r="228" spans="33:33" x14ac:dyDescent="0.3">
      <c r="AG228" s="84"/>
    </row>
    <row r="229" spans="33:33" x14ac:dyDescent="0.3">
      <c r="AG229" s="84"/>
    </row>
    <row r="230" spans="33:33" x14ac:dyDescent="0.3">
      <c r="AG230" s="84"/>
    </row>
    <row r="231" spans="33:33" x14ac:dyDescent="0.3">
      <c r="AG231" s="84"/>
    </row>
    <row r="232" spans="33:33" x14ac:dyDescent="0.3">
      <c r="AG232" s="84"/>
    </row>
    <row r="233" spans="33:33" x14ac:dyDescent="0.3">
      <c r="AG233" s="84"/>
    </row>
    <row r="234" spans="33:33" x14ac:dyDescent="0.3">
      <c r="AG234" s="84"/>
    </row>
    <row r="235" spans="33:33" x14ac:dyDescent="0.3">
      <c r="AG235" s="84"/>
    </row>
    <row r="236" spans="33:33" x14ac:dyDescent="0.3">
      <c r="AG236" s="84"/>
    </row>
    <row r="237" spans="33:33" x14ac:dyDescent="0.3">
      <c r="AG237" s="84"/>
    </row>
    <row r="238" spans="33:33" x14ac:dyDescent="0.3">
      <c r="AG238" s="84"/>
    </row>
    <row r="239" spans="33:33" x14ac:dyDescent="0.3">
      <c r="AG239" s="84"/>
    </row>
    <row r="240" spans="33:33" x14ac:dyDescent="0.3">
      <c r="AG240" s="84"/>
    </row>
    <row r="241" spans="33:33" x14ac:dyDescent="0.3">
      <c r="AG241" s="84"/>
    </row>
    <row r="242" spans="33:33" x14ac:dyDescent="0.3">
      <c r="AG242" s="84"/>
    </row>
    <row r="243" spans="33:33" x14ac:dyDescent="0.3">
      <c r="AG243" s="84"/>
    </row>
    <row r="244" spans="33:33" x14ac:dyDescent="0.3">
      <c r="AG244" s="84"/>
    </row>
    <row r="245" spans="33:33" x14ac:dyDescent="0.3">
      <c r="AG245" s="84"/>
    </row>
    <row r="246" spans="33:33" x14ac:dyDescent="0.3">
      <c r="AG246" s="84"/>
    </row>
    <row r="247" spans="33:33" x14ac:dyDescent="0.3">
      <c r="AG247" s="84"/>
    </row>
    <row r="248" spans="33:33" x14ac:dyDescent="0.3">
      <c r="AG248" s="84"/>
    </row>
    <row r="249" spans="33:33" x14ac:dyDescent="0.3">
      <c r="AG249" s="84"/>
    </row>
    <row r="250" spans="33:33" x14ac:dyDescent="0.3">
      <c r="AG250" s="84"/>
    </row>
    <row r="251" spans="33:33" x14ac:dyDescent="0.3">
      <c r="AG251" s="84"/>
    </row>
    <row r="252" spans="33:33" x14ac:dyDescent="0.3">
      <c r="AG252" s="84"/>
    </row>
    <row r="253" spans="33:33" x14ac:dyDescent="0.3">
      <c r="AG253" s="84"/>
    </row>
    <row r="254" spans="33:33" x14ac:dyDescent="0.3">
      <c r="AG254" s="84"/>
    </row>
    <row r="255" spans="33:33" x14ac:dyDescent="0.3">
      <c r="AG255" s="84"/>
    </row>
    <row r="256" spans="33:33" x14ac:dyDescent="0.3">
      <c r="AG256" s="84"/>
    </row>
    <row r="257" spans="33:33" x14ac:dyDescent="0.3">
      <c r="AG257" s="84"/>
    </row>
    <row r="258" spans="33:33" x14ac:dyDescent="0.3">
      <c r="AG258" s="84"/>
    </row>
    <row r="259" spans="33:33" x14ac:dyDescent="0.3">
      <c r="AG259" s="84"/>
    </row>
    <row r="260" spans="33:33" x14ac:dyDescent="0.3">
      <c r="AG260" s="84"/>
    </row>
    <row r="261" spans="33:33" x14ac:dyDescent="0.3">
      <c r="AG261" s="84"/>
    </row>
    <row r="262" spans="33:33" x14ac:dyDescent="0.3">
      <c r="AG262" s="84"/>
    </row>
    <row r="263" spans="33:33" x14ac:dyDescent="0.3">
      <c r="AG263" s="84"/>
    </row>
    <row r="264" spans="33:33" x14ac:dyDescent="0.3">
      <c r="AG264" s="84"/>
    </row>
    <row r="265" spans="33:33" x14ac:dyDescent="0.3">
      <c r="AG265" s="84"/>
    </row>
    <row r="266" spans="33:33" x14ac:dyDescent="0.3">
      <c r="AG266" s="84"/>
    </row>
    <row r="267" spans="33:33" x14ac:dyDescent="0.3">
      <c r="AG267" s="84"/>
    </row>
    <row r="268" spans="33:33" x14ac:dyDescent="0.3">
      <c r="AG268" s="84"/>
    </row>
    <row r="269" spans="33:33" x14ac:dyDescent="0.3">
      <c r="AG269" s="84"/>
    </row>
    <row r="270" spans="33:33" x14ac:dyDescent="0.3">
      <c r="AG270" s="84"/>
    </row>
    <row r="271" spans="33:33" x14ac:dyDescent="0.3">
      <c r="AG271" s="84"/>
    </row>
    <row r="272" spans="33:33" x14ac:dyDescent="0.3">
      <c r="AG272" s="84"/>
    </row>
    <row r="273" spans="33:33" x14ac:dyDescent="0.3">
      <c r="AG273" s="84"/>
    </row>
    <row r="274" spans="33:33" x14ac:dyDescent="0.3">
      <c r="AG274" s="84"/>
    </row>
    <row r="275" spans="33:33" x14ac:dyDescent="0.3">
      <c r="AG275" s="84"/>
    </row>
    <row r="276" spans="33:33" x14ac:dyDescent="0.3">
      <c r="AG276" s="84"/>
    </row>
    <row r="277" spans="33:33" x14ac:dyDescent="0.3">
      <c r="AG277" s="84"/>
    </row>
    <row r="278" spans="33:33" x14ac:dyDescent="0.3">
      <c r="AG278" s="84"/>
    </row>
    <row r="279" spans="33:33" x14ac:dyDescent="0.3">
      <c r="AG279" s="84"/>
    </row>
    <row r="280" spans="33:33" x14ac:dyDescent="0.3">
      <c r="AG280" s="84"/>
    </row>
    <row r="281" spans="33:33" x14ac:dyDescent="0.3">
      <c r="AG281" s="84"/>
    </row>
    <row r="282" spans="33:33" x14ac:dyDescent="0.3">
      <c r="AG282" s="84"/>
    </row>
    <row r="283" spans="33:33" x14ac:dyDescent="0.3">
      <c r="AG283" s="84"/>
    </row>
    <row r="284" spans="33:33" x14ac:dyDescent="0.3">
      <c r="AG284" s="84"/>
    </row>
    <row r="285" spans="33:33" x14ac:dyDescent="0.3">
      <c r="AG285" s="84"/>
    </row>
    <row r="286" spans="33:33" x14ac:dyDescent="0.3">
      <c r="AG286" s="84"/>
    </row>
    <row r="287" spans="33:33" x14ac:dyDescent="0.3">
      <c r="AG287" s="84"/>
    </row>
    <row r="288" spans="33:33" x14ac:dyDescent="0.3">
      <c r="AG288" s="84"/>
    </row>
    <row r="289" spans="33:33" x14ac:dyDescent="0.3">
      <c r="AG289" s="84"/>
    </row>
    <row r="290" spans="33:33" x14ac:dyDescent="0.3">
      <c r="AG290" s="84"/>
    </row>
    <row r="291" spans="33:33" x14ac:dyDescent="0.3">
      <c r="AG291" s="84"/>
    </row>
    <row r="292" spans="33:33" x14ac:dyDescent="0.3">
      <c r="AG292" s="84"/>
    </row>
    <row r="293" spans="33:33" x14ac:dyDescent="0.3">
      <c r="AG293" s="84"/>
    </row>
    <row r="294" spans="33:33" x14ac:dyDescent="0.3">
      <c r="AG294" s="84"/>
    </row>
    <row r="295" spans="33:33" x14ac:dyDescent="0.3">
      <c r="AG295" s="84"/>
    </row>
    <row r="296" spans="33:33" x14ac:dyDescent="0.3">
      <c r="AG296" s="84"/>
    </row>
    <row r="297" spans="33:33" x14ac:dyDescent="0.3">
      <c r="AG297" s="84"/>
    </row>
    <row r="298" spans="33:33" x14ac:dyDescent="0.3">
      <c r="AG298" s="84"/>
    </row>
    <row r="299" spans="33:33" x14ac:dyDescent="0.3">
      <c r="AG299" s="84"/>
    </row>
    <row r="300" spans="33:33" x14ac:dyDescent="0.3">
      <c r="AG300" s="84"/>
    </row>
    <row r="301" spans="33:33" x14ac:dyDescent="0.3">
      <c r="AG301" s="84"/>
    </row>
    <row r="302" spans="33:33" x14ac:dyDescent="0.3">
      <c r="AG302" s="84"/>
    </row>
    <row r="303" spans="33:33" x14ac:dyDescent="0.3">
      <c r="AG303" s="84"/>
    </row>
    <row r="304" spans="33:33" x14ac:dyDescent="0.3">
      <c r="AG304" s="84"/>
    </row>
    <row r="305" spans="33:33" x14ac:dyDescent="0.3">
      <c r="AG305" s="84"/>
    </row>
    <row r="306" spans="33:33" x14ac:dyDescent="0.3">
      <c r="AG306" s="84"/>
    </row>
    <row r="307" spans="33:33" x14ac:dyDescent="0.3">
      <c r="AG307" s="84"/>
    </row>
    <row r="308" spans="33:33" x14ac:dyDescent="0.3">
      <c r="AG308" s="84"/>
    </row>
    <row r="309" spans="33:33" x14ac:dyDescent="0.3">
      <c r="AG309" s="84"/>
    </row>
    <row r="310" spans="33:33" x14ac:dyDescent="0.3">
      <c r="AG310" s="84"/>
    </row>
    <row r="311" spans="33:33" x14ac:dyDescent="0.3">
      <c r="AG311" s="84"/>
    </row>
    <row r="312" spans="33:33" x14ac:dyDescent="0.3">
      <c r="AG312" s="84"/>
    </row>
    <row r="313" spans="33:33" x14ac:dyDescent="0.3">
      <c r="AG313" s="84"/>
    </row>
    <row r="314" spans="33:33" x14ac:dyDescent="0.3">
      <c r="AG314" s="84"/>
    </row>
    <row r="315" spans="33:33" x14ac:dyDescent="0.3">
      <c r="AG315" s="84"/>
    </row>
    <row r="316" spans="33:33" x14ac:dyDescent="0.3">
      <c r="AG316" s="84"/>
    </row>
    <row r="317" spans="33:33" x14ac:dyDescent="0.3">
      <c r="AG317" s="84"/>
    </row>
    <row r="318" spans="33:33" x14ac:dyDescent="0.3">
      <c r="AG318" s="84"/>
    </row>
    <row r="319" spans="33:33" x14ac:dyDescent="0.3">
      <c r="AG319" s="84"/>
    </row>
    <row r="320" spans="33:33" x14ac:dyDescent="0.3">
      <c r="AG320" s="84"/>
    </row>
    <row r="321" spans="33:33" x14ac:dyDescent="0.3">
      <c r="AG321" s="84"/>
    </row>
    <row r="322" spans="33:33" x14ac:dyDescent="0.3">
      <c r="AG322" s="84"/>
    </row>
    <row r="323" spans="33:33" x14ac:dyDescent="0.3">
      <c r="AG323" s="84"/>
    </row>
    <row r="324" spans="33:33" x14ac:dyDescent="0.3">
      <c r="AG324" s="84"/>
    </row>
    <row r="325" spans="33:33" x14ac:dyDescent="0.3">
      <c r="AG325" s="84"/>
    </row>
    <row r="326" spans="33:33" x14ac:dyDescent="0.3">
      <c r="AG326" s="84"/>
    </row>
    <row r="327" spans="33:33" x14ac:dyDescent="0.3">
      <c r="AG327" s="84"/>
    </row>
    <row r="328" spans="33:33" x14ac:dyDescent="0.3">
      <c r="AG328" s="84"/>
    </row>
    <row r="329" spans="33:33" x14ac:dyDescent="0.3">
      <c r="AG329" s="84"/>
    </row>
    <row r="330" spans="33:33" x14ac:dyDescent="0.3">
      <c r="AG330" s="84"/>
    </row>
    <row r="331" spans="33:33" x14ac:dyDescent="0.3">
      <c r="AG331" s="84"/>
    </row>
    <row r="332" spans="33:33" x14ac:dyDescent="0.3">
      <c r="AG332" s="84"/>
    </row>
    <row r="333" spans="33:33" x14ac:dyDescent="0.3">
      <c r="AG333" s="84"/>
    </row>
    <row r="334" spans="33:33" x14ac:dyDescent="0.3">
      <c r="AG334" s="84"/>
    </row>
    <row r="335" spans="33:33" x14ac:dyDescent="0.3">
      <c r="AG335" s="84"/>
    </row>
    <row r="336" spans="33:33" x14ac:dyDescent="0.3">
      <c r="AG336" s="84"/>
    </row>
    <row r="337" spans="33:33" x14ac:dyDescent="0.3">
      <c r="AG337" s="84"/>
    </row>
    <row r="338" spans="33:33" x14ac:dyDescent="0.3">
      <c r="AG338" s="84"/>
    </row>
    <row r="339" spans="33:33" x14ac:dyDescent="0.3">
      <c r="AG339" s="84"/>
    </row>
    <row r="340" spans="33:33" x14ac:dyDescent="0.3">
      <c r="AG340" s="84"/>
    </row>
    <row r="341" spans="33:33" x14ac:dyDescent="0.3">
      <c r="AG341" s="84"/>
    </row>
    <row r="342" spans="33:33" x14ac:dyDescent="0.3">
      <c r="AG342" s="84"/>
    </row>
    <row r="343" spans="33:33" x14ac:dyDescent="0.3">
      <c r="AG343" s="84"/>
    </row>
    <row r="344" spans="33:33" x14ac:dyDescent="0.3">
      <c r="AG344" s="84"/>
    </row>
    <row r="345" spans="33:33" x14ac:dyDescent="0.3">
      <c r="AG345" s="84"/>
    </row>
    <row r="346" spans="33:33" x14ac:dyDescent="0.3">
      <c r="AG346" s="84"/>
    </row>
    <row r="347" spans="33:33" x14ac:dyDescent="0.3">
      <c r="AG347" s="84"/>
    </row>
    <row r="348" spans="33:33" x14ac:dyDescent="0.3">
      <c r="AG348" s="84"/>
    </row>
    <row r="349" spans="33:33" x14ac:dyDescent="0.3">
      <c r="AG349" s="84"/>
    </row>
    <row r="350" spans="33:33" x14ac:dyDescent="0.3">
      <c r="AG350" s="84"/>
    </row>
    <row r="351" spans="33:33" x14ac:dyDescent="0.3">
      <c r="AG351" s="84"/>
    </row>
    <row r="352" spans="33:33" x14ac:dyDescent="0.3">
      <c r="AG352" s="84"/>
    </row>
    <row r="353" spans="33:33" x14ac:dyDescent="0.3">
      <c r="AG353" s="84"/>
    </row>
    <row r="354" spans="33:33" x14ac:dyDescent="0.3">
      <c r="AG354" s="84"/>
    </row>
    <row r="355" spans="33:33" x14ac:dyDescent="0.3">
      <c r="AG355" s="84"/>
    </row>
    <row r="356" spans="33:33" x14ac:dyDescent="0.3">
      <c r="AG356" s="84"/>
    </row>
    <row r="357" spans="33:33" x14ac:dyDescent="0.3">
      <c r="AG357" s="84"/>
    </row>
    <row r="358" spans="33:33" x14ac:dyDescent="0.3">
      <c r="AG358" s="84"/>
    </row>
    <row r="359" spans="33:33" x14ac:dyDescent="0.3">
      <c r="AG359" s="84"/>
    </row>
    <row r="360" spans="33:33" x14ac:dyDescent="0.3">
      <c r="AG360" s="84"/>
    </row>
    <row r="361" spans="33:33" x14ac:dyDescent="0.3">
      <c r="AG361" s="84"/>
    </row>
    <row r="362" spans="33:33" x14ac:dyDescent="0.3">
      <c r="AG362" s="84"/>
    </row>
    <row r="363" spans="33:33" x14ac:dyDescent="0.3">
      <c r="AG363" s="84"/>
    </row>
    <row r="364" spans="33:33" x14ac:dyDescent="0.3">
      <c r="AG364" s="84"/>
    </row>
    <row r="365" spans="33:33" x14ac:dyDescent="0.3">
      <c r="AG365" s="84"/>
    </row>
    <row r="366" spans="33:33" x14ac:dyDescent="0.3">
      <c r="AG366" s="84"/>
    </row>
    <row r="367" spans="33:33" x14ac:dyDescent="0.3">
      <c r="AG367" s="84"/>
    </row>
    <row r="368" spans="33:33" x14ac:dyDescent="0.3">
      <c r="AG368" s="84"/>
    </row>
    <row r="369" spans="33:33" x14ac:dyDescent="0.3">
      <c r="AG369" s="84"/>
    </row>
    <row r="370" spans="33:33" x14ac:dyDescent="0.3">
      <c r="AG370" s="84"/>
    </row>
    <row r="371" spans="33:33" x14ac:dyDescent="0.3">
      <c r="AG371" s="84"/>
    </row>
    <row r="372" spans="33:33" x14ac:dyDescent="0.3">
      <c r="AG372" s="84"/>
    </row>
    <row r="373" spans="33:33" x14ac:dyDescent="0.3">
      <c r="AG373" s="84"/>
    </row>
    <row r="374" spans="33:33" x14ac:dyDescent="0.3">
      <c r="AG374" s="84"/>
    </row>
    <row r="375" spans="33:33" x14ac:dyDescent="0.3">
      <c r="AG375" s="84"/>
    </row>
    <row r="376" spans="33:33" x14ac:dyDescent="0.3">
      <c r="AG376" s="84"/>
    </row>
    <row r="377" spans="33:33" x14ac:dyDescent="0.3">
      <c r="AG377" s="84"/>
    </row>
    <row r="378" spans="33:33" x14ac:dyDescent="0.3">
      <c r="AG378" s="84"/>
    </row>
    <row r="379" spans="33:33" x14ac:dyDescent="0.3">
      <c r="AG379" s="84"/>
    </row>
    <row r="380" spans="33:33" x14ac:dyDescent="0.3">
      <c r="AG380" s="84"/>
    </row>
    <row r="381" spans="33:33" x14ac:dyDescent="0.3">
      <c r="AG381" s="84"/>
    </row>
    <row r="382" spans="33:33" x14ac:dyDescent="0.3">
      <c r="AG382" s="84"/>
    </row>
    <row r="383" spans="33:33" x14ac:dyDescent="0.3">
      <c r="AG383" s="84"/>
    </row>
    <row r="384" spans="33:33" x14ac:dyDescent="0.3">
      <c r="AG384" s="84"/>
    </row>
    <row r="385" spans="33:33" x14ac:dyDescent="0.3">
      <c r="AG385" s="84"/>
    </row>
    <row r="386" spans="33:33" x14ac:dyDescent="0.3">
      <c r="AG386" s="84"/>
    </row>
    <row r="387" spans="33:33" x14ac:dyDescent="0.3">
      <c r="AG387" s="84"/>
    </row>
    <row r="388" spans="33:33" x14ac:dyDescent="0.3">
      <c r="AG388" s="84"/>
    </row>
    <row r="389" spans="33:33" x14ac:dyDescent="0.3">
      <c r="AG389" s="84"/>
    </row>
    <row r="390" spans="33:33" x14ac:dyDescent="0.3">
      <c r="AG390" s="84"/>
    </row>
    <row r="391" spans="33:33" x14ac:dyDescent="0.3">
      <c r="AG391" s="84"/>
    </row>
    <row r="392" spans="33:33" x14ac:dyDescent="0.3">
      <c r="AG392" s="84"/>
    </row>
    <row r="393" spans="33:33" x14ac:dyDescent="0.3">
      <c r="AG393" s="84"/>
    </row>
    <row r="394" spans="33:33" x14ac:dyDescent="0.3">
      <c r="AG394" s="84"/>
    </row>
    <row r="395" spans="33:33" x14ac:dyDescent="0.3">
      <c r="AG395" s="84"/>
    </row>
    <row r="396" spans="33:33" x14ac:dyDescent="0.3">
      <c r="AG396" s="84"/>
    </row>
    <row r="397" spans="33:33" x14ac:dyDescent="0.3">
      <c r="AG397" s="84"/>
    </row>
    <row r="398" spans="33:33" x14ac:dyDescent="0.3">
      <c r="AG398" s="84"/>
    </row>
    <row r="399" spans="33:33" x14ac:dyDescent="0.3">
      <c r="AG399" s="84"/>
    </row>
    <row r="400" spans="33:33" x14ac:dyDescent="0.3">
      <c r="AG400" s="84"/>
    </row>
    <row r="401" spans="33:33" x14ac:dyDescent="0.3">
      <c r="AG401" s="84"/>
    </row>
    <row r="402" spans="33:33" x14ac:dyDescent="0.3">
      <c r="AG402" s="84"/>
    </row>
    <row r="403" spans="33:33" x14ac:dyDescent="0.3">
      <c r="AG403" s="84"/>
    </row>
    <row r="404" spans="33:33" x14ac:dyDescent="0.3">
      <c r="AG404" s="84"/>
    </row>
    <row r="405" spans="33:33" x14ac:dyDescent="0.3">
      <c r="AG405" s="84"/>
    </row>
    <row r="406" spans="33:33" x14ac:dyDescent="0.3">
      <c r="AG406" s="84"/>
    </row>
    <row r="407" spans="33:33" x14ac:dyDescent="0.3">
      <c r="AG407" s="84"/>
    </row>
    <row r="408" spans="33:33" x14ac:dyDescent="0.3">
      <c r="AG408" s="84"/>
    </row>
    <row r="409" spans="33:33" x14ac:dyDescent="0.3">
      <c r="AG409" s="84"/>
    </row>
    <row r="410" spans="33:33" x14ac:dyDescent="0.3">
      <c r="AG410" s="84"/>
    </row>
    <row r="411" spans="33:33" x14ac:dyDescent="0.3">
      <c r="AG411" s="84"/>
    </row>
    <row r="412" spans="33:33" x14ac:dyDescent="0.3">
      <c r="AG412" s="84"/>
    </row>
    <row r="413" spans="33:33" x14ac:dyDescent="0.3">
      <c r="AG413" s="84"/>
    </row>
    <row r="414" spans="33:33" x14ac:dyDescent="0.3">
      <c r="AG414" s="84"/>
    </row>
    <row r="415" spans="33:33" x14ac:dyDescent="0.3">
      <c r="AG415" s="84"/>
    </row>
    <row r="416" spans="33:33" x14ac:dyDescent="0.3">
      <c r="AG416" s="84"/>
    </row>
    <row r="417" spans="33:33" x14ac:dyDescent="0.3">
      <c r="AG417" s="84"/>
    </row>
    <row r="418" spans="33:33" x14ac:dyDescent="0.3">
      <c r="AG418" s="84"/>
    </row>
    <row r="419" spans="33:33" x14ac:dyDescent="0.3">
      <c r="AG419" s="84"/>
    </row>
    <row r="420" spans="33:33" x14ac:dyDescent="0.3">
      <c r="AG420" s="84"/>
    </row>
    <row r="421" spans="33:33" x14ac:dyDescent="0.3">
      <c r="AG421" s="84"/>
    </row>
    <row r="422" spans="33:33" x14ac:dyDescent="0.3">
      <c r="AG422" s="84"/>
    </row>
    <row r="423" spans="33:33" x14ac:dyDescent="0.3">
      <c r="AG423" s="84"/>
    </row>
    <row r="424" spans="33:33" x14ac:dyDescent="0.3">
      <c r="AG424" s="84"/>
    </row>
    <row r="425" spans="33:33" x14ac:dyDescent="0.3">
      <c r="AG425" s="84"/>
    </row>
    <row r="426" spans="33:33" x14ac:dyDescent="0.3">
      <c r="AG426" s="84"/>
    </row>
    <row r="427" spans="33:33" x14ac:dyDescent="0.3">
      <c r="AG427" s="84"/>
    </row>
    <row r="428" spans="33:33" x14ac:dyDescent="0.3">
      <c r="AG428" s="84"/>
    </row>
    <row r="429" spans="33:33" x14ac:dyDescent="0.3">
      <c r="AG429" s="84"/>
    </row>
    <row r="430" spans="33:33" x14ac:dyDescent="0.3">
      <c r="AG430" s="84"/>
    </row>
    <row r="431" spans="33:33" x14ac:dyDescent="0.3">
      <c r="AG431" s="84"/>
    </row>
    <row r="432" spans="33:33" x14ac:dyDescent="0.3">
      <c r="AG432" s="84"/>
    </row>
    <row r="433" spans="33:33" x14ac:dyDescent="0.3">
      <c r="AG433" s="84"/>
    </row>
    <row r="434" spans="33:33" x14ac:dyDescent="0.3">
      <c r="AG434" s="84"/>
    </row>
    <row r="435" spans="33:33" x14ac:dyDescent="0.3">
      <c r="AG435" s="84"/>
    </row>
    <row r="436" spans="33:33" x14ac:dyDescent="0.3">
      <c r="AG436" s="84"/>
    </row>
    <row r="437" spans="33:33" x14ac:dyDescent="0.3">
      <c r="AG437" s="84"/>
    </row>
    <row r="438" spans="33:33" x14ac:dyDescent="0.3">
      <c r="AG438" s="84"/>
    </row>
    <row r="439" spans="33:33" x14ac:dyDescent="0.3">
      <c r="AG439" s="84"/>
    </row>
    <row r="440" spans="33:33" x14ac:dyDescent="0.3">
      <c r="AG440" s="84"/>
    </row>
    <row r="441" spans="33:33" x14ac:dyDescent="0.3">
      <c r="AG441" s="84"/>
    </row>
    <row r="442" spans="33:33" x14ac:dyDescent="0.3">
      <c r="AG442" s="84"/>
    </row>
    <row r="443" spans="33:33" x14ac:dyDescent="0.3">
      <c r="AG443" s="84"/>
    </row>
    <row r="444" spans="33:33" x14ac:dyDescent="0.3">
      <c r="AG444" s="84"/>
    </row>
    <row r="445" spans="33:33" x14ac:dyDescent="0.3">
      <c r="AG445" s="84"/>
    </row>
    <row r="446" spans="33:33" x14ac:dyDescent="0.3">
      <c r="AG446" s="84"/>
    </row>
    <row r="447" spans="33:33" x14ac:dyDescent="0.3">
      <c r="AG447" s="84"/>
    </row>
    <row r="448" spans="33:33" x14ac:dyDescent="0.3">
      <c r="AG448" s="84"/>
    </row>
    <row r="449" spans="33:33" x14ac:dyDescent="0.3">
      <c r="AG449" s="84"/>
    </row>
    <row r="450" spans="33:33" x14ac:dyDescent="0.3">
      <c r="AG450" s="84"/>
    </row>
    <row r="451" spans="33:33" x14ac:dyDescent="0.3">
      <c r="AG451" s="84"/>
    </row>
    <row r="452" spans="33:33" x14ac:dyDescent="0.3">
      <c r="AG452" s="84"/>
    </row>
    <row r="453" spans="33:33" x14ac:dyDescent="0.3">
      <c r="AG453" s="84"/>
    </row>
    <row r="454" spans="33:33" x14ac:dyDescent="0.3">
      <c r="AG454" s="84"/>
    </row>
    <row r="455" spans="33:33" x14ac:dyDescent="0.3">
      <c r="AG455" s="84"/>
    </row>
    <row r="456" spans="33:33" x14ac:dyDescent="0.3">
      <c r="AG456" s="84"/>
    </row>
    <row r="457" spans="33:33" x14ac:dyDescent="0.3">
      <c r="AG457" s="84"/>
    </row>
    <row r="458" spans="33:33" x14ac:dyDescent="0.3">
      <c r="AG458" s="84"/>
    </row>
    <row r="459" spans="33:33" x14ac:dyDescent="0.3">
      <c r="AG459" s="84"/>
    </row>
    <row r="460" spans="33:33" x14ac:dyDescent="0.3">
      <c r="AG460" s="84"/>
    </row>
    <row r="461" spans="33:33" x14ac:dyDescent="0.3">
      <c r="AG461" s="84"/>
    </row>
    <row r="462" spans="33:33" x14ac:dyDescent="0.3">
      <c r="AG462" s="84"/>
    </row>
    <row r="463" spans="33:33" x14ac:dyDescent="0.3">
      <c r="AG463" s="84"/>
    </row>
    <row r="464" spans="33:33" x14ac:dyDescent="0.3">
      <c r="AG464" s="84"/>
    </row>
    <row r="465" spans="33:33" x14ac:dyDescent="0.3">
      <c r="AG465" s="84"/>
    </row>
    <row r="466" spans="33:33" x14ac:dyDescent="0.3">
      <c r="AG466" s="84"/>
    </row>
    <row r="467" spans="33:33" x14ac:dyDescent="0.3">
      <c r="AG467" s="84"/>
    </row>
    <row r="468" spans="33:33" x14ac:dyDescent="0.3">
      <c r="AG468" s="84"/>
    </row>
    <row r="469" spans="33:33" x14ac:dyDescent="0.3">
      <c r="AG469" s="84"/>
    </row>
    <row r="470" spans="33:33" x14ac:dyDescent="0.3">
      <c r="AG470" s="84"/>
    </row>
    <row r="471" spans="33:33" x14ac:dyDescent="0.3">
      <c r="AG471" s="84"/>
    </row>
    <row r="472" spans="33:33" x14ac:dyDescent="0.3">
      <c r="AG472" s="84"/>
    </row>
    <row r="473" spans="33:33" x14ac:dyDescent="0.3">
      <c r="AG473" s="84"/>
    </row>
    <row r="474" spans="33:33" x14ac:dyDescent="0.3">
      <c r="AG474" s="84"/>
    </row>
    <row r="475" spans="33:33" x14ac:dyDescent="0.3">
      <c r="AG475" s="84"/>
    </row>
    <row r="476" spans="33:33" x14ac:dyDescent="0.3">
      <c r="AG476" s="84"/>
    </row>
    <row r="477" spans="33:33" x14ac:dyDescent="0.3">
      <c r="AG477" s="84"/>
    </row>
    <row r="478" spans="33:33" x14ac:dyDescent="0.3">
      <c r="AG478" s="84"/>
    </row>
    <row r="479" spans="33:33" x14ac:dyDescent="0.3">
      <c r="AG479" s="84"/>
    </row>
    <row r="480" spans="33:33" x14ac:dyDescent="0.3">
      <c r="AG480" s="84"/>
    </row>
    <row r="481" spans="33:33" x14ac:dyDescent="0.3">
      <c r="AG481" s="84"/>
    </row>
    <row r="482" spans="33:33" x14ac:dyDescent="0.3">
      <c r="AG482" s="84"/>
    </row>
    <row r="483" spans="33:33" x14ac:dyDescent="0.3">
      <c r="AG483" s="84"/>
    </row>
    <row r="484" spans="33:33" x14ac:dyDescent="0.3">
      <c r="AG484" s="84"/>
    </row>
    <row r="485" spans="33:33" x14ac:dyDescent="0.3">
      <c r="AG485" s="84"/>
    </row>
    <row r="486" spans="33:33" x14ac:dyDescent="0.3">
      <c r="AG486" s="84"/>
    </row>
    <row r="487" spans="33:33" x14ac:dyDescent="0.3">
      <c r="AG487" s="84"/>
    </row>
    <row r="488" spans="33:33" x14ac:dyDescent="0.3">
      <c r="AG488" s="84"/>
    </row>
    <row r="489" spans="33:33" x14ac:dyDescent="0.3">
      <c r="AG489" s="84"/>
    </row>
    <row r="490" spans="33:33" x14ac:dyDescent="0.3">
      <c r="AG490" s="84"/>
    </row>
    <row r="491" spans="33:33" x14ac:dyDescent="0.3">
      <c r="AG491" s="84"/>
    </row>
    <row r="492" spans="33:33" x14ac:dyDescent="0.3">
      <c r="AG492" s="84"/>
    </row>
    <row r="493" spans="33:33" x14ac:dyDescent="0.3">
      <c r="AG493" s="84"/>
    </row>
    <row r="494" spans="33:33" x14ac:dyDescent="0.3">
      <c r="AG494" s="84"/>
    </row>
    <row r="495" spans="33:33" x14ac:dyDescent="0.3">
      <c r="AG495" s="84"/>
    </row>
    <row r="496" spans="33:33" x14ac:dyDescent="0.3">
      <c r="AG496" s="84"/>
    </row>
    <row r="497" spans="33:33" x14ac:dyDescent="0.3">
      <c r="AG497" s="84"/>
    </row>
    <row r="498" spans="33:33" x14ac:dyDescent="0.3">
      <c r="AG498" s="84"/>
    </row>
    <row r="499" spans="33:33" x14ac:dyDescent="0.3">
      <c r="AG499" s="84"/>
    </row>
    <row r="500" spans="33:33" x14ac:dyDescent="0.3">
      <c r="AG500" s="84"/>
    </row>
    <row r="501" spans="33:33" x14ac:dyDescent="0.3">
      <c r="AG501" s="84"/>
    </row>
    <row r="502" spans="33:33" x14ac:dyDescent="0.3">
      <c r="AG502" s="84"/>
    </row>
    <row r="503" spans="33:33" x14ac:dyDescent="0.3">
      <c r="AG503" s="84"/>
    </row>
    <row r="504" spans="33:33" x14ac:dyDescent="0.3">
      <c r="AG504" s="84"/>
    </row>
    <row r="505" spans="33:33" x14ac:dyDescent="0.3">
      <c r="AG505" s="84"/>
    </row>
    <row r="506" spans="33:33" x14ac:dyDescent="0.3">
      <c r="AG506" s="84"/>
    </row>
    <row r="507" spans="33:33" x14ac:dyDescent="0.3">
      <c r="AG507" s="84"/>
    </row>
    <row r="508" spans="33:33" x14ac:dyDescent="0.3">
      <c r="AG508" s="84"/>
    </row>
    <row r="509" spans="33:33" x14ac:dyDescent="0.3">
      <c r="AG509" s="84"/>
    </row>
    <row r="510" spans="33:33" x14ac:dyDescent="0.3">
      <c r="AG510" s="84"/>
    </row>
    <row r="511" spans="33:33" x14ac:dyDescent="0.3">
      <c r="AG511" s="84"/>
    </row>
    <row r="512" spans="33:33" x14ac:dyDescent="0.3">
      <c r="AG512" s="84"/>
    </row>
    <row r="513" spans="33:33" x14ac:dyDescent="0.3">
      <c r="AG513" s="84"/>
    </row>
    <row r="514" spans="33:33" x14ac:dyDescent="0.3">
      <c r="AG514" s="84"/>
    </row>
    <row r="515" spans="33:33" x14ac:dyDescent="0.3">
      <c r="AG515" s="84"/>
    </row>
    <row r="516" spans="33:33" x14ac:dyDescent="0.3">
      <c r="AG516" s="84"/>
    </row>
    <row r="517" spans="33:33" x14ac:dyDescent="0.3">
      <c r="AG517" s="84"/>
    </row>
    <row r="518" spans="33:33" x14ac:dyDescent="0.3">
      <c r="AG518" s="84"/>
    </row>
    <row r="519" spans="33:33" x14ac:dyDescent="0.3">
      <c r="AG519" s="84"/>
    </row>
    <row r="520" spans="33:33" x14ac:dyDescent="0.3">
      <c r="AG520" s="84"/>
    </row>
    <row r="521" spans="33:33" x14ac:dyDescent="0.3">
      <c r="AG521" s="84"/>
    </row>
    <row r="522" spans="33:33" x14ac:dyDescent="0.3">
      <c r="AG522" s="84"/>
    </row>
    <row r="523" spans="33:33" x14ac:dyDescent="0.3">
      <c r="AG523" s="84"/>
    </row>
    <row r="524" spans="33:33" x14ac:dyDescent="0.3">
      <c r="AG524" s="84"/>
    </row>
    <row r="525" spans="33:33" x14ac:dyDescent="0.3">
      <c r="AG525" s="84"/>
    </row>
    <row r="526" spans="33:33" x14ac:dyDescent="0.3">
      <c r="AG526" s="84"/>
    </row>
    <row r="527" spans="33:33" x14ac:dyDescent="0.3">
      <c r="AG527" s="84"/>
    </row>
    <row r="528" spans="33:33" x14ac:dyDescent="0.3">
      <c r="AG528" s="84"/>
    </row>
    <row r="529" spans="33:33" x14ac:dyDescent="0.3">
      <c r="AG529" s="84"/>
    </row>
    <row r="530" spans="33:33" x14ac:dyDescent="0.3">
      <c r="AG530" s="84"/>
    </row>
    <row r="531" spans="33:33" x14ac:dyDescent="0.3">
      <c r="AG531" s="84"/>
    </row>
    <row r="532" spans="33:33" x14ac:dyDescent="0.3">
      <c r="AG532" s="84"/>
    </row>
    <row r="533" spans="33:33" x14ac:dyDescent="0.3">
      <c r="AG533" s="84"/>
    </row>
    <row r="534" spans="33:33" x14ac:dyDescent="0.3">
      <c r="AG534" s="84"/>
    </row>
    <row r="535" spans="33:33" x14ac:dyDescent="0.3">
      <c r="AG535" s="84"/>
    </row>
    <row r="536" spans="33:33" x14ac:dyDescent="0.3">
      <c r="AG536" s="84"/>
    </row>
    <row r="537" spans="33:33" x14ac:dyDescent="0.3">
      <c r="AG537" s="84"/>
    </row>
    <row r="538" spans="33:33" x14ac:dyDescent="0.3">
      <c r="AG538" s="84"/>
    </row>
    <row r="539" spans="33:33" x14ac:dyDescent="0.3">
      <c r="AG539" s="84"/>
    </row>
    <row r="540" spans="33:33" x14ac:dyDescent="0.3">
      <c r="AG540" s="84"/>
    </row>
    <row r="541" spans="33:33" x14ac:dyDescent="0.3">
      <c r="AG541" s="84"/>
    </row>
    <row r="542" spans="33:33" x14ac:dyDescent="0.3">
      <c r="AG542" s="84"/>
    </row>
    <row r="543" spans="33:33" x14ac:dyDescent="0.3">
      <c r="AG543" s="84"/>
    </row>
    <row r="544" spans="33:33" x14ac:dyDescent="0.3">
      <c r="AG544" s="84"/>
    </row>
    <row r="545" spans="33:33" x14ac:dyDescent="0.3">
      <c r="AG545" s="84"/>
    </row>
    <row r="546" spans="33:33" x14ac:dyDescent="0.3">
      <c r="AG546" s="84"/>
    </row>
    <row r="547" spans="33:33" x14ac:dyDescent="0.3">
      <c r="AG547" s="84"/>
    </row>
    <row r="548" spans="33:33" x14ac:dyDescent="0.3">
      <c r="AG548" s="84"/>
    </row>
    <row r="549" spans="33:33" x14ac:dyDescent="0.3">
      <c r="AG549" s="84"/>
    </row>
    <row r="550" spans="33:33" x14ac:dyDescent="0.3">
      <c r="AG550" s="84"/>
    </row>
    <row r="551" spans="33:33" x14ac:dyDescent="0.3">
      <c r="AG551" s="84"/>
    </row>
    <row r="552" spans="33:33" x14ac:dyDescent="0.3">
      <c r="AG552" s="84"/>
    </row>
    <row r="553" spans="33:33" x14ac:dyDescent="0.3">
      <c r="AG553" s="84"/>
    </row>
    <row r="554" spans="33:33" x14ac:dyDescent="0.3">
      <c r="AG554" s="84"/>
    </row>
    <row r="555" spans="33:33" x14ac:dyDescent="0.3">
      <c r="AG555" s="84"/>
    </row>
    <row r="556" spans="33:33" x14ac:dyDescent="0.3">
      <c r="AG556" s="84"/>
    </row>
    <row r="557" spans="33:33" x14ac:dyDescent="0.3">
      <c r="AG557" s="84"/>
    </row>
    <row r="558" spans="33:33" x14ac:dyDescent="0.3">
      <c r="AG558" s="84"/>
    </row>
    <row r="559" spans="33:33" x14ac:dyDescent="0.3">
      <c r="AG559" s="84"/>
    </row>
    <row r="560" spans="33:33" x14ac:dyDescent="0.3">
      <c r="AG560" s="84"/>
    </row>
    <row r="561" spans="33:33" x14ac:dyDescent="0.3">
      <c r="AG561" s="84"/>
    </row>
    <row r="562" spans="33:33" x14ac:dyDescent="0.3">
      <c r="AG562" s="84"/>
    </row>
    <row r="563" spans="33:33" x14ac:dyDescent="0.3">
      <c r="AG563" s="84"/>
    </row>
    <row r="564" spans="33:33" x14ac:dyDescent="0.3">
      <c r="AG564" s="84"/>
    </row>
    <row r="565" spans="33:33" x14ac:dyDescent="0.3">
      <c r="AG565" s="84"/>
    </row>
    <row r="566" spans="33:33" x14ac:dyDescent="0.3">
      <c r="AG566" s="84"/>
    </row>
    <row r="567" spans="33:33" x14ac:dyDescent="0.3">
      <c r="AG567" s="84"/>
    </row>
    <row r="568" spans="33:33" x14ac:dyDescent="0.3">
      <c r="AG568" s="84"/>
    </row>
    <row r="569" spans="33:33" x14ac:dyDescent="0.3">
      <c r="AG569" s="84"/>
    </row>
    <row r="570" spans="33:33" x14ac:dyDescent="0.3">
      <c r="AG570" s="84"/>
    </row>
    <row r="571" spans="33:33" x14ac:dyDescent="0.3">
      <c r="AG571" s="84"/>
    </row>
    <row r="572" spans="33:33" x14ac:dyDescent="0.3">
      <c r="AG572" s="84"/>
    </row>
    <row r="573" spans="33:33" x14ac:dyDescent="0.3">
      <c r="AG573" s="84"/>
    </row>
    <row r="574" spans="33:33" x14ac:dyDescent="0.3">
      <c r="AG574" s="84"/>
    </row>
    <row r="575" spans="33:33" x14ac:dyDescent="0.3">
      <c r="AG575" s="84"/>
    </row>
    <row r="576" spans="33:33" x14ac:dyDescent="0.3">
      <c r="AG576" s="84"/>
    </row>
    <row r="577" spans="33:33" x14ac:dyDescent="0.3">
      <c r="AG577" s="84"/>
    </row>
    <row r="578" spans="33:33" x14ac:dyDescent="0.3">
      <c r="AG578" s="84"/>
    </row>
    <row r="579" spans="33:33" x14ac:dyDescent="0.3">
      <c r="AG579" s="84"/>
    </row>
    <row r="580" spans="33:33" x14ac:dyDescent="0.3">
      <c r="AG580" s="84"/>
    </row>
    <row r="581" spans="33:33" x14ac:dyDescent="0.3">
      <c r="AG581" s="84"/>
    </row>
    <row r="582" spans="33:33" x14ac:dyDescent="0.3">
      <c r="AG582" s="84"/>
    </row>
    <row r="583" spans="33:33" x14ac:dyDescent="0.3">
      <c r="AG583" s="84"/>
    </row>
    <row r="584" spans="33:33" x14ac:dyDescent="0.3">
      <c r="AG584" s="84"/>
    </row>
    <row r="585" spans="33:33" x14ac:dyDescent="0.3">
      <c r="AG585" s="84"/>
    </row>
    <row r="586" spans="33:33" x14ac:dyDescent="0.3">
      <c r="AG586" s="84"/>
    </row>
    <row r="587" spans="33:33" x14ac:dyDescent="0.3">
      <c r="AG587" s="84"/>
    </row>
    <row r="588" spans="33:33" x14ac:dyDescent="0.3">
      <c r="AG588" s="84"/>
    </row>
    <row r="589" spans="33:33" x14ac:dyDescent="0.3">
      <c r="AG589" s="84"/>
    </row>
    <row r="590" spans="33:33" x14ac:dyDescent="0.3">
      <c r="AG590" s="84"/>
    </row>
    <row r="591" spans="33:33" x14ac:dyDescent="0.3">
      <c r="AG591" s="84"/>
    </row>
    <row r="592" spans="33:33" x14ac:dyDescent="0.3">
      <c r="AG592" s="84"/>
    </row>
    <row r="593" spans="33:33" x14ac:dyDescent="0.3">
      <c r="AG593" s="84"/>
    </row>
    <row r="594" spans="33:33" x14ac:dyDescent="0.3">
      <c r="AG594" s="84"/>
    </row>
    <row r="595" spans="33:33" x14ac:dyDescent="0.3">
      <c r="AG595" s="84"/>
    </row>
    <row r="596" spans="33:33" x14ac:dyDescent="0.3">
      <c r="AG596" s="84"/>
    </row>
    <row r="597" spans="33:33" x14ac:dyDescent="0.3">
      <c r="AG597" s="84"/>
    </row>
    <row r="598" spans="33:33" x14ac:dyDescent="0.3">
      <c r="AG598" s="84"/>
    </row>
    <row r="599" spans="33:33" x14ac:dyDescent="0.3">
      <c r="AG599" s="84"/>
    </row>
    <row r="600" spans="33:33" x14ac:dyDescent="0.3">
      <c r="AG600" s="84"/>
    </row>
    <row r="601" spans="33:33" x14ac:dyDescent="0.3">
      <c r="AG601" s="84"/>
    </row>
    <row r="602" spans="33:33" x14ac:dyDescent="0.3">
      <c r="AG602" s="84"/>
    </row>
    <row r="603" spans="33:33" x14ac:dyDescent="0.3">
      <c r="AG603" s="84"/>
    </row>
    <row r="604" spans="33:33" x14ac:dyDescent="0.3">
      <c r="AG604" s="84"/>
    </row>
    <row r="605" spans="33:33" x14ac:dyDescent="0.3">
      <c r="AG605" s="84"/>
    </row>
    <row r="606" spans="33:33" x14ac:dyDescent="0.3">
      <c r="AG606" s="84"/>
    </row>
    <row r="607" spans="33:33" x14ac:dyDescent="0.3">
      <c r="AG607" s="84"/>
    </row>
    <row r="608" spans="33:33" x14ac:dyDescent="0.3">
      <c r="AG608" s="84"/>
    </row>
    <row r="609" spans="33:33" x14ac:dyDescent="0.3">
      <c r="AG609" s="84"/>
    </row>
    <row r="610" spans="33:33" x14ac:dyDescent="0.3">
      <c r="AG610" s="84"/>
    </row>
    <row r="611" spans="33:33" x14ac:dyDescent="0.3">
      <c r="AG611" s="84"/>
    </row>
    <row r="612" spans="33:33" x14ac:dyDescent="0.3">
      <c r="AG612" s="84"/>
    </row>
    <row r="613" spans="33:33" x14ac:dyDescent="0.3">
      <c r="AG613" s="84"/>
    </row>
    <row r="614" spans="33:33" x14ac:dyDescent="0.3">
      <c r="AG614" s="84"/>
    </row>
    <row r="615" spans="33:33" x14ac:dyDescent="0.3">
      <c r="AG615" s="84"/>
    </row>
    <row r="616" spans="33:33" x14ac:dyDescent="0.3">
      <c r="AG616" s="84"/>
    </row>
    <row r="617" spans="33:33" x14ac:dyDescent="0.3">
      <c r="AG617" s="84"/>
    </row>
    <row r="618" spans="33:33" x14ac:dyDescent="0.3">
      <c r="AG618" s="84"/>
    </row>
    <row r="619" spans="33:33" x14ac:dyDescent="0.3">
      <c r="AG619" s="84"/>
    </row>
    <row r="620" spans="33:33" x14ac:dyDescent="0.3">
      <c r="AG620" s="84"/>
    </row>
    <row r="621" spans="33:33" x14ac:dyDescent="0.3">
      <c r="AG621" s="84"/>
    </row>
    <row r="622" spans="33:33" x14ac:dyDescent="0.3">
      <c r="AG622" s="84"/>
    </row>
    <row r="623" spans="33:33" x14ac:dyDescent="0.3">
      <c r="AG623" s="84"/>
    </row>
    <row r="624" spans="33:33" x14ac:dyDescent="0.3">
      <c r="AG624" s="84"/>
    </row>
    <row r="625" spans="33:33" x14ac:dyDescent="0.3">
      <c r="AG625" s="84"/>
    </row>
    <row r="626" spans="33:33" x14ac:dyDescent="0.3">
      <c r="AG626" s="84"/>
    </row>
    <row r="627" spans="33:33" x14ac:dyDescent="0.3">
      <c r="AG627" s="84"/>
    </row>
    <row r="628" spans="33:33" x14ac:dyDescent="0.3">
      <c r="AG628" s="84"/>
    </row>
    <row r="629" spans="33:33" x14ac:dyDescent="0.3">
      <c r="AG629" s="84"/>
    </row>
    <row r="630" spans="33:33" x14ac:dyDescent="0.3">
      <c r="AG630" s="84"/>
    </row>
    <row r="631" spans="33:33" x14ac:dyDescent="0.3">
      <c r="AG631" s="84"/>
    </row>
    <row r="632" spans="33:33" x14ac:dyDescent="0.3">
      <c r="AG632" s="84"/>
    </row>
    <row r="633" spans="33:33" x14ac:dyDescent="0.3">
      <c r="AG633" s="84"/>
    </row>
    <row r="634" spans="33:33" x14ac:dyDescent="0.3">
      <c r="AG634" s="84"/>
    </row>
    <row r="635" spans="33:33" x14ac:dyDescent="0.3">
      <c r="AG635" s="84"/>
    </row>
    <row r="636" spans="33:33" x14ac:dyDescent="0.3">
      <c r="AG636" s="84"/>
    </row>
    <row r="637" spans="33:33" x14ac:dyDescent="0.3">
      <c r="AG637" s="84"/>
    </row>
    <row r="638" spans="33:33" x14ac:dyDescent="0.3">
      <c r="AG638" s="84"/>
    </row>
    <row r="639" spans="33:33" x14ac:dyDescent="0.3">
      <c r="AG639" s="84"/>
    </row>
    <row r="640" spans="33:33" x14ac:dyDescent="0.3">
      <c r="AG640" s="84"/>
    </row>
    <row r="641" spans="33:33" x14ac:dyDescent="0.3">
      <c r="AG641" s="84"/>
    </row>
    <row r="642" spans="33:33" x14ac:dyDescent="0.3">
      <c r="AG642" s="84"/>
    </row>
    <row r="643" spans="33:33" x14ac:dyDescent="0.3">
      <c r="AG643" s="84"/>
    </row>
    <row r="644" spans="33:33" x14ac:dyDescent="0.3">
      <c r="AG644" s="84"/>
    </row>
    <row r="645" spans="33:33" x14ac:dyDescent="0.3">
      <c r="AG645" s="84"/>
    </row>
    <row r="646" spans="33:33" x14ac:dyDescent="0.3">
      <c r="AG646" s="84"/>
    </row>
    <row r="647" spans="33:33" x14ac:dyDescent="0.3">
      <c r="AG647" s="84"/>
    </row>
    <row r="648" spans="33:33" x14ac:dyDescent="0.3">
      <c r="AG648" s="84"/>
    </row>
    <row r="649" spans="33:33" x14ac:dyDescent="0.3">
      <c r="AG649" s="84"/>
    </row>
    <row r="650" spans="33:33" x14ac:dyDescent="0.3">
      <c r="AG650" s="84"/>
    </row>
    <row r="651" spans="33:33" x14ac:dyDescent="0.3">
      <c r="AG651" s="84"/>
    </row>
    <row r="652" spans="33:33" x14ac:dyDescent="0.3">
      <c r="AG652" s="84"/>
    </row>
    <row r="653" spans="33:33" x14ac:dyDescent="0.3">
      <c r="AG653" s="84"/>
    </row>
    <row r="654" spans="33:33" x14ac:dyDescent="0.3">
      <c r="AG654" s="84"/>
    </row>
    <row r="655" spans="33:33" x14ac:dyDescent="0.3">
      <c r="AG655" s="84"/>
    </row>
    <row r="656" spans="33:33" x14ac:dyDescent="0.3">
      <c r="AG656" s="84"/>
    </row>
    <row r="657" spans="33:33" x14ac:dyDescent="0.3">
      <c r="AG657" s="84"/>
    </row>
    <row r="658" spans="33:33" x14ac:dyDescent="0.3">
      <c r="AG658" s="84"/>
    </row>
    <row r="659" spans="33:33" x14ac:dyDescent="0.3">
      <c r="AG659" s="84"/>
    </row>
    <row r="660" spans="33:33" x14ac:dyDescent="0.3">
      <c r="AG660" s="84"/>
    </row>
    <row r="661" spans="33:33" x14ac:dyDescent="0.3">
      <c r="AG661" s="84"/>
    </row>
    <row r="662" spans="33:33" x14ac:dyDescent="0.3">
      <c r="AG662" s="84"/>
    </row>
    <row r="663" spans="33:33" x14ac:dyDescent="0.3">
      <c r="AG663" s="84"/>
    </row>
    <row r="664" spans="33:33" x14ac:dyDescent="0.3">
      <c r="AG664" s="84"/>
    </row>
    <row r="665" spans="33:33" x14ac:dyDescent="0.3">
      <c r="AG665" s="84"/>
    </row>
    <row r="666" spans="33:33" x14ac:dyDescent="0.3">
      <c r="AG666" s="84"/>
    </row>
    <row r="667" spans="33:33" x14ac:dyDescent="0.3">
      <c r="AG667" s="84"/>
    </row>
    <row r="668" spans="33:33" x14ac:dyDescent="0.3">
      <c r="AG668" s="84"/>
    </row>
    <row r="669" spans="33:33" x14ac:dyDescent="0.3">
      <c r="AG669" s="84"/>
    </row>
    <row r="670" spans="33:33" x14ac:dyDescent="0.3">
      <c r="AG670" s="84"/>
    </row>
    <row r="671" spans="33:33" x14ac:dyDescent="0.3">
      <c r="AG671" s="84"/>
    </row>
    <row r="672" spans="33:33" x14ac:dyDescent="0.3">
      <c r="AG672" s="84"/>
    </row>
    <row r="673" spans="33:33" x14ac:dyDescent="0.3">
      <c r="AG673" s="84"/>
    </row>
    <row r="674" spans="33:33" x14ac:dyDescent="0.3">
      <c r="AG674" s="84"/>
    </row>
    <row r="675" spans="33:33" x14ac:dyDescent="0.3">
      <c r="AG675" s="84"/>
    </row>
    <row r="676" spans="33:33" x14ac:dyDescent="0.3">
      <c r="AG676" s="84"/>
    </row>
    <row r="677" spans="33:33" x14ac:dyDescent="0.3">
      <c r="AG677" s="84"/>
    </row>
    <row r="678" spans="33:33" x14ac:dyDescent="0.3">
      <c r="AG678" s="84"/>
    </row>
    <row r="679" spans="33:33" x14ac:dyDescent="0.3">
      <c r="AG679" s="84"/>
    </row>
    <row r="680" spans="33:33" x14ac:dyDescent="0.3">
      <c r="AG680" s="84"/>
    </row>
    <row r="681" spans="33:33" x14ac:dyDescent="0.3">
      <c r="AG681" s="84"/>
    </row>
    <row r="682" spans="33:33" x14ac:dyDescent="0.3">
      <c r="AG682" s="84"/>
    </row>
    <row r="683" spans="33:33" x14ac:dyDescent="0.3">
      <c r="AG683" s="84"/>
    </row>
    <row r="684" spans="33:33" x14ac:dyDescent="0.3">
      <c r="AG684" s="84"/>
    </row>
    <row r="685" spans="33:33" x14ac:dyDescent="0.3">
      <c r="AG685" s="84"/>
    </row>
    <row r="686" spans="33:33" x14ac:dyDescent="0.3">
      <c r="AG686" s="84"/>
    </row>
    <row r="687" spans="33:33" x14ac:dyDescent="0.3">
      <c r="AG687" s="84"/>
    </row>
    <row r="688" spans="33:33" x14ac:dyDescent="0.3">
      <c r="AG688" s="84"/>
    </row>
    <row r="689" spans="33:33" x14ac:dyDescent="0.3">
      <c r="AG689" s="84"/>
    </row>
    <row r="690" spans="33:33" x14ac:dyDescent="0.3">
      <c r="AG690" s="84"/>
    </row>
    <row r="691" spans="33:33" x14ac:dyDescent="0.3">
      <c r="AG691" s="84"/>
    </row>
    <row r="692" spans="33:33" x14ac:dyDescent="0.3">
      <c r="AG692" s="84"/>
    </row>
    <row r="693" spans="33:33" x14ac:dyDescent="0.3">
      <c r="AG693" s="84"/>
    </row>
    <row r="694" spans="33:33" x14ac:dyDescent="0.3">
      <c r="AG694" s="84"/>
    </row>
    <row r="695" spans="33:33" x14ac:dyDescent="0.3">
      <c r="AG695" s="84"/>
    </row>
    <row r="696" spans="33:33" x14ac:dyDescent="0.3">
      <c r="AG696" s="84"/>
    </row>
    <row r="697" spans="33:33" x14ac:dyDescent="0.3">
      <c r="AG697" s="84"/>
    </row>
    <row r="698" spans="33:33" x14ac:dyDescent="0.3">
      <c r="AG698" s="84"/>
    </row>
    <row r="699" spans="33:33" x14ac:dyDescent="0.3">
      <c r="AG699" s="84"/>
    </row>
    <row r="700" spans="33:33" x14ac:dyDescent="0.3">
      <c r="AG700" s="84"/>
    </row>
    <row r="701" spans="33:33" x14ac:dyDescent="0.3">
      <c r="AG701" s="84"/>
    </row>
    <row r="702" spans="33:33" x14ac:dyDescent="0.3">
      <c r="AG702" s="84"/>
    </row>
    <row r="703" spans="33:33" x14ac:dyDescent="0.3">
      <c r="AG703" s="84"/>
    </row>
    <row r="704" spans="33:33" x14ac:dyDescent="0.3">
      <c r="AG704" s="84"/>
    </row>
    <row r="705" spans="33:33" x14ac:dyDescent="0.3">
      <c r="AG705" s="84"/>
    </row>
    <row r="706" spans="33:33" x14ac:dyDescent="0.3">
      <c r="AG706" s="84"/>
    </row>
    <row r="707" spans="33:33" x14ac:dyDescent="0.3">
      <c r="AG707" s="84"/>
    </row>
    <row r="708" spans="33:33" x14ac:dyDescent="0.3">
      <c r="AG708" s="84"/>
    </row>
    <row r="709" spans="33:33" x14ac:dyDescent="0.3">
      <c r="AG709" s="84"/>
    </row>
    <row r="710" spans="33:33" x14ac:dyDescent="0.3">
      <c r="AG710" s="84"/>
    </row>
    <row r="711" spans="33:33" x14ac:dyDescent="0.3">
      <c r="AG711" s="84"/>
    </row>
    <row r="712" spans="33:33" x14ac:dyDescent="0.3">
      <c r="AG712" s="84"/>
    </row>
    <row r="713" spans="33:33" x14ac:dyDescent="0.3">
      <c r="AG713" s="84"/>
    </row>
    <row r="714" spans="33:33" x14ac:dyDescent="0.3">
      <c r="AG714" s="84"/>
    </row>
    <row r="715" spans="33:33" x14ac:dyDescent="0.3">
      <c r="AG715" s="84"/>
    </row>
    <row r="716" spans="33:33" x14ac:dyDescent="0.3">
      <c r="AG716" s="84"/>
    </row>
    <row r="717" spans="33:33" x14ac:dyDescent="0.3">
      <c r="AG717" s="84"/>
    </row>
    <row r="718" spans="33:33" x14ac:dyDescent="0.3">
      <c r="AG718" s="84"/>
    </row>
    <row r="719" spans="33:33" x14ac:dyDescent="0.3">
      <c r="AG719" s="84"/>
    </row>
    <row r="720" spans="33:33" x14ac:dyDescent="0.3">
      <c r="AG720" s="84"/>
    </row>
    <row r="721" spans="33:33" x14ac:dyDescent="0.3">
      <c r="AG721" s="84"/>
    </row>
    <row r="722" spans="33:33" x14ac:dyDescent="0.3">
      <c r="AG722" s="84"/>
    </row>
    <row r="723" spans="33:33" x14ac:dyDescent="0.3">
      <c r="AG723" s="84"/>
    </row>
    <row r="724" spans="33:33" x14ac:dyDescent="0.3">
      <c r="AG724" s="84"/>
    </row>
    <row r="725" spans="33:33" x14ac:dyDescent="0.3">
      <c r="AG725" s="84"/>
    </row>
    <row r="726" spans="33:33" x14ac:dyDescent="0.3">
      <c r="AG726" s="84"/>
    </row>
    <row r="727" spans="33:33" x14ac:dyDescent="0.3">
      <c r="AG727" s="84"/>
    </row>
    <row r="728" spans="33:33" x14ac:dyDescent="0.3">
      <c r="AG728" s="84"/>
    </row>
    <row r="729" spans="33:33" x14ac:dyDescent="0.3">
      <c r="AG729" s="84"/>
    </row>
    <row r="730" spans="33:33" x14ac:dyDescent="0.3">
      <c r="AG730" s="84"/>
    </row>
    <row r="731" spans="33:33" x14ac:dyDescent="0.3">
      <c r="AG731" s="84"/>
    </row>
    <row r="732" spans="33:33" x14ac:dyDescent="0.3">
      <c r="AG732" s="84"/>
    </row>
    <row r="733" spans="33:33" x14ac:dyDescent="0.3">
      <c r="AG733" s="84"/>
    </row>
    <row r="734" spans="33:33" x14ac:dyDescent="0.3">
      <c r="AG734" s="84"/>
    </row>
    <row r="735" spans="33:33" x14ac:dyDescent="0.3">
      <c r="AG735" s="84"/>
    </row>
    <row r="736" spans="33:33" x14ac:dyDescent="0.3">
      <c r="AG736" s="84"/>
    </row>
    <row r="737" spans="33:33" x14ac:dyDescent="0.3">
      <c r="AG737" s="84"/>
    </row>
    <row r="738" spans="33:33" x14ac:dyDescent="0.3">
      <c r="AG738" s="84"/>
    </row>
    <row r="739" spans="33:33" x14ac:dyDescent="0.3">
      <c r="AG739" s="84"/>
    </row>
    <row r="740" spans="33:33" x14ac:dyDescent="0.3">
      <c r="AG740" s="84"/>
    </row>
    <row r="741" spans="33:33" x14ac:dyDescent="0.3">
      <c r="AG741" s="84"/>
    </row>
    <row r="742" spans="33:33" x14ac:dyDescent="0.3">
      <c r="AG742" s="84"/>
    </row>
    <row r="743" spans="33:33" x14ac:dyDescent="0.3">
      <c r="AG743" s="84"/>
    </row>
    <row r="744" spans="33:33" x14ac:dyDescent="0.3">
      <c r="AG744" s="84"/>
    </row>
    <row r="745" spans="33:33" x14ac:dyDescent="0.3">
      <c r="AG745" s="84"/>
    </row>
    <row r="746" spans="33:33" x14ac:dyDescent="0.3">
      <c r="AG746" s="84"/>
    </row>
    <row r="747" spans="33:33" x14ac:dyDescent="0.3">
      <c r="AG747" s="84"/>
    </row>
    <row r="748" spans="33:33" x14ac:dyDescent="0.3">
      <c r="AG748" s="84"/>
    </row>
    <row r="749" spans="33:33" x14ac:dyDescent="0.3">
      <c r="AG749" s="84"/>
    </row>
    <row r="750" spans="33:33" x14ac:dyDescent="0.3">
      <c r="AG750" s="84"/>
    </row>
    <row r="751" spans="33:33" x14ac:dyDescent="0.3">
      <c r="AG751" s="84"/>
    </row>
    <row r="752" spans="33:33" x14ac:dyDescent="0.3">
      <c r="AG752" s="84"/>
    </row>
    <row r="753" spans="33:33" x14ac:dyDescent="0.3">
      <c r="AG753" s="84"/>
    </row>
    <row r="754" spans="33:33" x14ac:dyDescent="0.3">
      <c r="AG754" s="84"/>
    </row>
    <row r="755" spans="33:33" x14ac:dyDescent="0.3">
      <c r="AG755" s="84"/>
    </row>
    <row r="756" spans="33:33" x14ac:dyDescent="0.3">
      <c r="AG756" s="84"/>
    </row>
    <row r="757" spans="33:33" x14ac:dyDescent="0.3">
      <c r="AG757" s="84"/>
    </row>
    <row r="758" spans="33:33" x14ac:dyDescent="0.3">
      <c r="AG758" s="84"/>
    </row>
    <row r="759" spans="33:33" x14ac:dyDescent="0.3">
      <c r="AG759" s="84"/>
    </row>
    <row r="760" spans="33:33" x14ac:dyDescent="0.3">
      <c r="AG760" s="84"/>
    </row>
    <row r="761" spans="33:33" x14ac:dyDescent="0.3">
      <c r="AG761" s="84"/>
    </row>
    <row r="762" spans="33:33" x14ac:dyDescent="0.3">
      <c r="AG762" s="84"/>
    </row>
    <row r="763" spans="33:33" x14ac:dyDescent="0.3">
      <c r="AG763" s="84"/>
    </row>
    <row r="764" spans="33:33" x14ac:dyDescent="0.3">
      <c r="AG764" s="84"/>
    </row>
    <row r="765" spans="33:33" x14ac:dyDescent="0.3">
      <c r="AG765" s="84"/>
    </row>
    <row r="766" spans="33:33" x14ac:dyDescent="0.3">
      <c r="AG766" s="84"/>
    </row>
    <row r="767" spans="33:33" x14ac:dyDescent="0.3">
      <c r="AG767" s="84"/>
    </row>
    <row r="768" spans="33:33" x14ac:dyDescent="0.3">
      <c r="AG768" s="84"/>
    </row>
    <row r="769" spans="33:33" x14ac:dyDescent="0.3">
      <c r="AG769" s="84"/>
    </row>
    <row r="770" spans="33:33" x14ac:dyDescent="0.3">
      <c r="AG770" s="84"/>
    </row>
    <row r="771" spans="33:33" x14ac:dyDescent="0.3">
      <c r="AG771" s="84"/>
    </row>
    <row r="772" spans="33:33" x14ac:dyDescent="0.3">
      <c r="AG772" s="84"/>
    </row>
    <row r="773" spans="33:33" x14ac:dyDescent="0.3">
      <c r="AG773" s="84"/>
    </row>
    <row r="774" spans="33:33" x14ac:dyDescent="0.3">
      <c r="AG774" s="84"/>
    </row>
    <row r="775" spans="33:33" x14ac:dyDescent="0.3">
      <c r="AG775" s="84"/>
    </row>
    <row r="776" spans="33:33" x14ac:dyDescent="0.3">
      <c r="AG776" s="84"/>
    </row>
    <row r="777" spans="33:33" x14ac:dyDescent="0.3">
      <c r="AG777" s="84"/>
    </row>
    <row r="778" spans="33:33" x14ac:dyDescent="0.3">
      <c r="AG778" s="84"/>
    </row>
    <row r="779" spans="33:33" x14ac:dyDescent="0.3">
      <c r="AG779" s="84"/>
    </row>
    <row r="780" spans="33:33" x14ac:dyDescent="0.3">
      <c r="AG780" s="84"/>
    </row>
    <row r="781" spans="33:33" x14ac:dyDescent="0.3">
      <c r="AG781" s="84"/>
    </row>
    <row r="782" spans="33:33" x14ac:dyDescent="0.3">
      <c r="AG782" s="84"/>
    </row>
    <row r="783" spans="33:33" x14ac:dyDescent="0.3">
      <c r="AG783" s="84"/>
    </row>
    <row r="784" spans="33:33" x14ac:dyDescent="0.3">
      <c r="AG784" s="84"/>
    </row>
    <row r="785" spans="33:33" x14ac:dyDescent="0.3">
      <c r="AG785" s="84"/>
    </row>
    <row r="786" spans="33:33" x14ac:dyDescent="0.3">
      <c r="AG786" s="84"/>
    </row>
    <row r="787" spans="33:33" x14ac:dyDescent="0.3">
      <c r="AG787" s="84"/>
    </row>
    <row r="788" spans="33:33" x14ac:dyDescent="0.3">
      <c r="AG788" s="84"/>
    </row>
    <row r="789" spans="33:33" x14ac:dyDescent="0.3">
      <c r="AG789" s="84"/>
    </row>
    <row r="790" spans="33:33" x14ac:dyDescent="0.3">
      <c r="AG790" s="84"/>
    </row>
    <row r="791" spans="33:33" x14ac:dyDescent="0.3">
      <c r="AG791" s="84"/>
    </row>
    <row r="792" spans="33:33" x14ac:dyDescent="0.3">
      <c r="AG792" s="84"/>
    </row>
    <row r="793" spans="33:33" x14ac:dyDescent="0.3">
      <c r="AG793" s="84"/>
    </row>
    <row r="794" spans="33:33" x14ac:dyDescent="0.3">
      <c r="AG794" s="84"/>
    </row>
    <row r="795" spans="33:33" x14ac:dyDescent="0.3">
      <c r="AG795" s="84"/>
    </row>
    <row r="796" spans="33:33" x14ac:dyDescent="0.3">
      <c r="AG796" s="84"/>
    </row>
    <row r="797" spans="33:33" x14ac:dyDescent="0.3">
      <c r="AG797" s="84"/>
    </row>
    <row r="798" spans="33:33" x14ac:dyDescent="0.3">
      <c r="AG798" s="84"/>
    </row>
    <row r="799" spans="33:33" x14ac:dyDescent="0.3">
      <c r="AG799" s="84"/>
    </row>
    <row r="800" spans="33:33" x14ac:dyDescent="0.3">
      <c r="AG800" s="84"/>
    </row>
    <row r="801" spans="33:33" x14ac:dyDescent="0.3">
      <c r="AG801" s="84"/>
    </row>
    <row r="802" spans="33:33" x14ac:dyDescent="0.3">
      <c r="AG802" s="84"/>
    </row>
    <row r="803" spans="33:33" x14ac:dyDescent="0.3">
      <c r="AG803" s="84"/>
    </row>
    <row r="804" spans="33:33" x14ac:dyDescent="0.3">
      <c r="AG804" s="84"/>
    </row>
    <row r="805" spans="33:33" x14ac:dyDescent="0.3">
      <c r="AG805" s="84"/>
    </row>
    <row r="806" spans="33:33" x14ac:dyDescent="0.3">
      <c r="AG806" s="84"/>
    </row>
    <row r="807" spans="33:33" x14ac:dyDescent="0.3">
      <c r="AG807" s="84"/>
    </row>
    <row r="808" spans="33:33" x14ac:dyDescent="0.3">
      <c r="AG808" s="84"/>
    </row>
    <row r="809" spans="33:33" x14ac:dyDescent="0.3">
      <c r="AG809" s="84"/>
    </row>
    <row r="810" spans="33:33" x14ac:dyDescent="0.3">
      <c r="AG810" s="84"/>
    </row>
    <row r="811" spans="33:33" x14ac:dyDescent="0.3">
      <c r="AG811" s="84"/>
    </row>
    <row r="812" spans="33:33" x14ac:dyDescent="0.3">
      <c r="AG812" s="84"/>
    </row>
    <row r="813" spans="33:33" x14ac:dyDescent="0.3">
      <c r="AG813" s="84"/>
    </row>
    <row r="814" spans="33:33" x14ac:dyDescent="0.3">
      <c r="AG814" s="84"/>
    </row>
    <row r="815" spans="33:33" x14ac:dyDescent="0.3">
      <c r="AG815" s="84"/>
    </row>
    <row r="816" spans="33:33" x14ac:dyDescent="0.3">
      <c r="AG816" s="84"/>
    </row>
    <row r="817" spans="33:33" x14ac:dyDescent="0.3">
      <c r="AG817" s="84"/>
    </row>
    <row r="818" spans="33:33" x14ac:dyDescent="0.3">
      <c r="AG818" s="84"/>
    </row>
    <row r="819" spans="33:33" x14ac:dyDescent="0.3">
      <c r="AG819" s="84"/>
    </row>
    <row r="820" spans="33:33" x14ac:dyDescent="0.3">
      <c r="AG820" s="84"/>
    </row>
    <row r="821" spans="33:33" x14ac:dyDescent="0.3">
      <c r="AG821" s="84"/>
    </row>
    <row r="822" spans="33:33" x14ac:dyDescent="0.3">
      <c r="AG822" s="84"/>
    </row>
    <row r="823" spans="33:33" x14ac:dyDescent="0.3">
      <c r="AG823" s="84"/>
    </row>
    <row r="824" spans="33:33" x14ac:dyDescent="0.3">
      <c r="AG824" s="84"/>
    </row>
    <row r="825" spans="33:33" x14ac:dyDescent="0.3">
      <c r="AG825" s="84"/>
    </row>
    <row r="826" spans="33:33" x14ac:dyDescent="0.3">
      <c r="AG826" s="84"/>
    </row>
    <row r="827" spans="33:33" x14ac:dyDescent="0.3">
      <c r="AG827" s="84"/>
    </row>
    <row r="828" spans="33:33" x14ac:dyDescent="0.3">
      <c r="AG828" s="84"/>
    </row>
    <row r="829" spans="33:33" x14ac:dyDescent="0.3">
      <c r="AG829" s="84"/>
    </row>
    <row r="830" spans="33:33" x14ac:dyDescent="0.3">
      <c r="AG830" s="84"/>
    </row>
    <row r="831" spans="33:33" x14ac:dyDescent="0.3">
      <c r="AG831" s="84"/>
    </row>
    <row r="832" spans="33:33" x14ac:dyDescent="0.3">
      <c r="AG832" s="84"/>
    </row>
    <row r="833" spans="33:33" x14ac:dyDescent="0.3">
      <c r="AG833" s="84"/>
    </row>
    <row r="834" spans="33:33" x14ac:dyDescent="0.3">
      <c r="AG834" s="84"/>
    </row>
    <row r="835" spans="33:33" x14ac:dyDescent="0.3">
      <c r="AG835" s="84"/>
    </row>
    <row r="836" spans="33:33" x14ac:dyDescent="0.3">
      <c r="AG836" s="84"/>
    </row>
    <row r="837" spans="33:33" x14ac:dyDescent="0.3">
      <c r="AG837" s="84"/>
    </row>
    <row r="838" spans="33:33" x14ac:dyDescent="0.3">
      <c r="AG838" s="84"/>
    </row>
    <row r="839" spans="33:33" x14ac:dyDescent="0.3">
      <c r="AG839" s="84"/>
    </row>
    <row r="840" spans="33:33" x14ac:dyDescent="0.3">
      <c r="AG840" s="84"/>
    </row>
    <row r="841" spans="33:33" x14ac:dyDescent="0.3">
      <c r="AG841" s="84"/>
    </row>
    <row r="842" spans="33:33" x14ac:dyDescent="0.3">
      <c r="AG842" s="84"/>
    </row>
    <row r="843" spans="33:33" x14ac:dyDescent="0.3">
      <c r="AG843" s="84"/>
    </row>
    <row r="844" spans="33:33" x14ac:dyDescent="0.3">
      <c r="AG844" s="84"/>
    </row>
    <row r="845" spans="33:33" x14ac:dyDescent="0.3">
      <c r="AG845" s="84"/>
    </row>
    <row r="846" spans="33:33" x14ac:dyDescent="0.3">
      <c r="AG846" s="84"/>
    </row>
    <row r="847" spans="33:33" x14ac:dyDescent="0.3">
      <c r="AG847" s="84"/>
    </row>
    <row r="848" spans="33:33" x14ac:dyDescent="0.3">
      <c r="AG848" s="84"/>
    </row>
    <row r="849" spans="33:33" x14ac:dyDescent="0.3">
      <c r="AG849" s="84"/>
    </row>
    <row r="850" spans="33:33" x14ac:dyDescent="0.3">
      <c r="AG850" s="84"/>
    </row>
    <row r="851" spans="33:33" x14ac:dyDescent="0.3">
      <c r="AG851" s="84"/>
    </row>
    <row r="852" spans="33:33" x14ac:dyDescent="0.3">
      <c r="AG852" s="84"/>
    </row>
    <row r="853" spans="33:33" x14ac:dyDescent="0.3">
      <c r="AG853" s="84"/>
    </row>
    <row r="854" spans="33:33" x14ac:dyDescent="0.3">
      <c r="AG854" s="84"/>
    </row>
    <row r="855" spans="33:33" x14ac:dyDescent="0.3">
      <c r="AG855" s="84"/>
    </row>
    <row r="856" spans="33:33" x14ac:dyDescent="0.3">
      <c r="AG856" s="84"/>
    </row>
    <row r="857" spans="33:33" x14ac:dyDescent="0.3">
      <c r="AG857" s="84"/>
    </row>
    <row r="858" spans="33:33" x14ac:dyDescent="0.3">
      <c r="AG858" s="84"/>
    </row>
    <row r="859" spans="33:33" x14ac:dyDescent="0.3">
      <c r="AG859" s="84"/>
    </row>
    <row r="860" spans="33:33" x14ac:dyDescent="0.3">
      <c r="AG860" s="84"/>
    </row>
    <row r="861" spans="33:33" x14ac:dyDescent="0.3">
      <c r="AG861" s="84"/>
    </row>
    <row r="862" spans="33:33" x14ac:dyDescent="0.3">
      <c r="AG862" s="84"/>
    </row>
    <row r="863" spans="33:33" x14ac:dyDescent="0.3">
      <c r="AG863" s="84"/>
    </row>
    <row r="864" spans="33:33" x14ac:dyDescent="0.3">
      <c r="AG864" s="84"/>
    </row>
    <row r="865" spans="33:33" x14ac:dyDescent="0.3">
      <c r="AG865" s="84"/>
    </row>
    <row r="866" spans="33:33" x14ac:dyDescent="0.3">
      <c r="AG866" s="84"/>
    </row>
    <row r="867" spans="33:33" x14ac:dyDescent="0.3">
      <c r="AG867" s="84"/>
    </row>
    <row r="868" spans="33:33" x14ac:dyDescent="0.3">
      <c r="AG868" s="84"/>
    </row>
    <row r="869" spans="33:33" x14ac:dyDescent="0.3">
      <c r="AG869" s="84"/>
    </row>
    <row r="870" spans="33:33" x14ac:dyDescent="0.3">
      <c r="AG870" s="84"/>
    </row>
    <row r="871" spans="33:33" x14ac:dyDescent="0.3">
      <c r="AG871" s="84"/>
    </row>
    <row r="872" spans="33:33" x14ac:dyDescent="0.3">
      <c r="AG872" s="84"/>
    </row>
    <row r="873" spans="33:33" x14ac:dyDescent="0.3">
      <c r="AG873" s="84"/>
    </row>
    <row r="874" spans="33:33" x14ac:dyDescent="0.3">
      <c r="AG874" s="84"/>
    </row>
    <row r="875" spans="33:33" x14ac:dyDescent="0.3">
      <c r="AG875" s="84"/>
    </row>
    <row r="876" spans="33:33" x14ac:dyDescent="0.3">
      <c r="AG876" s="84"/>
    </row>
    <row r="877" spans="33:33" x14ac:dyDescent="0.3">
      <c r="AG877" s="84"/>
    </row>
    <row r="878" spans="33:33" x14ac:dyDescent="0.3">
      <c r="AG878" s="84"/>
    </row>
    <row r="879" spans="33:33" x14ac:dyDescent="0.3">
      <c r="AG879" s="84"/>
    </row>
    <row r="880" spans="33:33" x14ac:dyDescent="0.3">
      <c r="AG880" s="84"/>
    </row>
    <row r="881" spans="33:33" x14ac:dyDescent="0.3">
      <c r="AG881" s="84"/>
    </row>
    <row r="882" spans="33:33" x14ac:dyDescent="0.3">
      <c r="AG882" s="84"/>
    </row>
    <row r="883" spans="33:33" x14ac:dyDescent="0.3">
      <c r="AG883" s="84"/>
    </row>
    <row r="884" spans="33:33" x14ac:dyDescent="0.3">
      <c r="AG884" s="84"/>
    </row>
    <row r="885" spans="33:33" x14ac:dyDescent="0.3">
      <c r="AG885" s="84"/>
    </row>
    <row r="886" spans="33:33" x14ac:dyDescent="0.3">
      <c r="AG886" s="84"/>
    </row>
    <row r="887" spans="33:33" x14ac:dyDescent="0.3">
      <c r="AG887" s="84"/>
    </row>
    <row r="888" spans="33:33" x14ac:dyDescent="0.3">
      <c r="AG888" s="84"/>
    </row>
    <row r="889" spans="33:33" x14ac:dyDescent="0.3">
      <c r="AG889" s="84"/>
    </row>
    <row r="890" spans="33:33" x14ac:dyDescent="0.3">
      <c r="AG890" s="84"/>
    </row>
    <row r="891" spans="33:33" x14ac:dyDescent="0.3">
      <c r="AG891" s="84"/>
    </row>
    <row r="892" spans="33:33" x14ac:dyDescent="0.3">
      <c r="AG892" s="84"/>
    </row>
    <row r="893" spans="33:33" x14ac:dyDescent="0.3">
      <c r="AG893" s="84"/>
    </row>
    <row r="894" spans="33:33" x14ac:dyDescent="0.3">
      <c r="AG894" s="84"/>
    </row>
    <row r="895" spans="33:33" x14ac:dyDescent="0.3">
      <c r="AG895" s="84"/>
    </row>
    <row r="896" spans="33:33" x14ac:dyDescent="0.3">
      <c r="AG896" s="84"/>
    </row>
    <row r="897" spans="33:33" x14ac:dyDescent="0.3">
      <c r="AG897" s="84"/>
    </row>
    <row r="898" spans="33:33" x14ac:dyDescent="0.3">
      <c r="AG898" s="84"/>
    </row>
    <row r="899" spans="33:33" x14ac:dyDescent="0.3">
      <c r="AG899" s="84"/>
    </row>
    <row r="900" spans="33:33" x14ac:dyDescent="0.3">
      <c r="AG900" s="84"/>
    </row>
    <row r="901" spans="33:33" x14ac:dyDescent="0.3">
      <c r="AG901" s="84"/>
    </row>
    <row r="902" spans="33:33" x14ac:dyDescent="0.3">
      <c r="AG902" s="84"/>
    </row>
    <row r="903" spans="33:33" x14ac:dyDescent="0.3">
      <c r="AG903" s="84"/>
    </row>
    <row r="904" spans="33:33" x14ac:dyDescent="0.3">
      <c r="AG904" s="84"/>
    </row>
    <row r="905" spans="33:33" x14ac:dyDescent="0.3">
      <c r="AG905" s="84"/>
    </row>
    <row r="906" spans="33:33" x14ac:dyDescent="0.3">
      <c r="AG906" s="84"/>
    </row>
    <row r="907" spans="33:33" x14ac:dyDescent="0.3">
      <c r="AG907" s="84"/>
    </row>
    <row r="908" spans="33:33" x14ac:dyDescent="0.3">
      <c r="AG908" s="84"/>
    </row>
    <row r="909" spans="33:33" x14ac:dyDescent="0.3">
      <c r="AG909" s="84"/>
    </row>
    <row r="910" spans="33:33" x14ac:dyDescent="0.3">
      <c r="AG910" s="84"/>
    </row>
    <row r="911" spans="33:33" x14ac:dyDescent="0.3">
      <c r="AG911" s="84"/>
    </row>
    <row r="912" spans="33:33" x14ac:dyDescent="0.3">
      <c r="AG912" s="84"/>
    </row>
    <row r="913" spans="33:33" x14ac:dyDescent="0.3">
      <c r="AG913" s="84"/>
    </row>
    <row r="914" spans="33:33" x14ac:dyDescent="0.3">
      <c r="AG914" s="84"/>
    </row>
    <row r="915" spans="33:33" x14ac:dyDescent="0.3">
      <c r="AG915" s="84"/>
    </row>
    <row r="916" spans="33:33" x14ac:dyDescent="0.3">
      <c r="AG916" s="84"/>
    </row>
    <row r="917" spans="33:33" x14ac:dyDescent="0.3">
      <c r="AG917" s="84"/>
    </row>
    <row r="918" spans="33:33" x14ac:dyDescent="0.3">
      <c r="AG918" s="84"/>
    </row>
    <row r="919" spans="33:33" x14ac:dyDescent="0.3">
      <c r="AG919" s="84"/>
    </row>
    <row r="920" spans="33:33" x14ac:dyDescent="0.3">
      <c r="AG920" s="84"/>
    </row>
    <row r="921" spans="33:33" x14ac:dyDescent="0.3">
      <c r="AG921" s="84"/>
    </row>
    <row r="922" spans="33:33" x14ac:dyDescent="0.3">
      <c r="AG922" s="84"/>
    </row>
    <row r="923" spans="33:33" x14ac:dyDescent="0.3">
      <c r="AG923" s="84"/>
    </row>
    <row r="924" spans="33:33" x14ac:dyDescent="0.3">
      <c r="AG924" s="84"/>
    </row>
    <row r="925" spans="33:33" x14ac:dyDescent="0.3">
      <c r="AG925" s="84"/>
    </row>
    <row r="926" spans="33:33" x14ac:dyDescent="0.3">
      <c r="AG926" s="84"/>
    </row>
    <row r="927" spans="33:33" x14ac:dyDescent="0.3">
      <c r="AG927" s="84"/>
    </row>
    <row r="928" spans="33:33" x14ac:dyDescent="0.3">
      <c r="AG928" s="84"/>
    </row>
    <row r="929" spans="33:33" x14ac:dyDescent="0.3">
      <c r="AG929" s="84"/>
    </row>
    <row r="930" spans="33:33" x14ac:dyDescent="0.3">
      <c r="AG930" s="84"/>
    </row>
    <row r="931" spans="33:33" x14ac:dyDescent="0.3">
      <c r="AG931" s="84"/>
    </row>
    <row r="932" spans="33:33" x14ac:dyDescent="0.3">
      <c r="AG932" s="84"/>
    </row>
    <row r="933" spans="33:33" x14ac:dyDescent="0.3">
      <c r="AG933" s="84"/>
    </row>
    <row r="934" spans="33:33" x14ac:dyDescent="0.3">
      <c r="AG934" s="84"/>
    </row>
    <row r="935" spans="33:33" x14ac:dyDescent="0.3">
      <c r="AG935" s="84"/>
    </row>
    <row r="936" spans="33:33" x14ac:dyDescent="0.3">
      <c r="AG936" s="84"/>
    </row>
    <row r="937" spans="33:33" x14ac:dyDescent="0.3">
      <c r="AG937" s="84"/>
    </row>
    <row r="938" spans="33:33" x14ac:dyDescent="0.3">
      <c r="AG938" s="84"/>
    </row>
    <row r="939" spans="33:33" x14ac:dyDescent="0.3">
      <c r="AG939" s="84"/>
    </row>
    <row r="940" spans="33:33" x14ac:dyDescent="0.3">
      <c r="AG940" s="84"/>
    </row>
    <row r="941" spans="33:33" x14ac:dyDescent="0.3">
      <c r="AG941" s="84"/>
    </row>
    <row r="942" spans="33:33" x14ac:dyDescent="0.3">
      <c r="AG942" s="84"/>
    </row>
    <row r="943" spans="33:33" x14ac:dyDescent="0.3">
      <c r="AG943" s="84"/>
    </row>
    <row r="944" spans="33:33" x14ac:dyDescent="0.3">
      <c r="AG944" s="84"/>
    </row>
    <row r="945" spans="33:33" x14ac:dyDescent="0.3">
      <c r="AG945" s="84"/>
    </row>
    <row r="946" spans="33:33" x14ac:dyDescent="0.3">
      <c r="AG946" s="84"/>
    </row>
    <row r="947" spans="33:33" x14ac:dyDescent="0.3">
      <c r="AG947" s="84"/>
    </row>
    <row r="948" spans="33:33" x14ac:dyDescent="0.3">
      <c r="AG948" s="84"/>
    </row>
    <row r="949" spans="33:33" x14ac:dyDescent="0.3">
      <c r="AG949" s="84"/>
    </row>
    <row r="950" spans="33:33" x14ac:dyDescent="0.3">
      <c r="AG950" s="84"/>
    </row>
    <row r="951" spans="33:33" x14ac:dyDescent="0.3">
      <c r="AG951" s="84"/>
    </row>
    <row r="952" spans="33:33" x14ac:dyDescent="0.3">
      <c r="AG952" s="84"/>
    </row>
    <row r="953" spans="33:33" x14ac:dyDescent="0.3">
      <c r="AG953" s="84"/>
    </row>
    <row r="954" spans="33:33" x14ac:dyDescent="0.3">
      <c r="AG954" s="84"/>
    </row>
    <row r="955" spans="33:33" x14ac:dyDescent="0.3">
      <c r="AG955" s="84"/>
    </row>
    <row r="956" spans="33:33" x14ac:dyDescent="0.3">
      <c r="AG956" s="84"/>
    </row>
    <row r="957" spans="33:33" x14ac:dyDescent="0.3">
      <c r="AG957" s="84"/>
    </row>
    <row r="958" spans="33:33" x14ac:dyDescent="0.3">
      <c r="AG958" s="84"/>
    </row>
    <row r="959" spans="33:33" x14ac:dyDescent="0.3">
      <c r="AG959" s="84"/>
    </row>
    <row r="960" spans="33:33" x14ac:dyDescent="0.3">
      <c r="AG960" s="84"/>
    </row>
    <row r="961" spans="33:33" x14ac:dyDescent="0.3">
      <c r="AG961" s="84"/>
    </row>
    <row r="962" spans="33:33" x14ac:dyDescent="0.3">
      <c r="AG962" s="84"/>
    </row>
    <row r="963" spans="33:33" x14ac:dyDescent="0.3">
      <c r="AG963" s="84"/>
    </row>
    <row r="964" spans="33:33" x14ac:dyDescent="0.3">
      <c r="AG964" s="84"/>
    </row>
    <row r="965" spans="33:33" x14ac:dyDescent="0.3">
      <c r="AG965" s="84"/>
    </row>
    <row r="966" spans="33:33" x14ac:dyDescent="0.3">
      <c r="AG966" s="84"/>
    </row>
    <row r="967" spans="33:33" x14ac:dyDescent="0.3">
      <c r="AG967" s="84"/>
    </row>
    <row r="968" spans="33:33" x14ac:dyDescent="0.3">
      <c r="AG968" s="84"/>
    </row>
    <row r="969" spans="33:33" x14ac:dyDescent="0.3">
      <c r="AG969" s="84"/>
    </row>
    <row r="970" spans="33:33" x14ac:dyDescent="0.3">
      <c r="AG970" s="84"/>
    </row>
    <row r="971" spans="33:33" x14ac:dyDescent="0.3">
      <c r="AG971" s="84"/>
    </row>
    <row r="972" spans="33:33" x14ac:dyDescent="0.3">
      <c r="AG972" s="84"/>
    </row>
    <row r="973" spans="33:33" x14ac:dyDescent="0.3">
      <c r="AG973" s="84"/>
    </row>
    <row r="974" spans="33:33" x14ac:dyDescent="0.3">
      <c r="AG974" s="84"/>
    </row>
    <row r="975" spans="33:33" x14ac:dyDescent="0.3">
      <c r="AG975" s="84"/>
    </row>
    <row r="976" spans="33:33" x14ac:dyDescent="0.3">
      <c r="AG976" s="84"/>
    </row>
    <row r="977" spans="33:33" x14ac:dyDescent="0.3">
      <c r="AG977" s="84"/>
    </row>
    <row r="978" spans="33:33" x14ac:dyDescent="0.3">
      <c r="AG978" s="84"/>
    </row>
    <row r="979" spans="33:33" x14ac:dyDescent="0.3">
      <c r="AG979" s="84"/>
    </row>
    <row r="980" spans="33:33" x14ac:dyDescent="0.3">
      <c r="AG980" s="84"/>
    </row>
    <row r="981" spans="33:33" x14ac:dyDescent="0.3">
      <c r="AG981" s="84"/>
    </row>
    <row r="982" spans="33:33" x14ac:dyDescent="0.3">
      <c r="AG982" s="84"/>
    </row>
    <row r="983" spans="33:33" x14ac:dyDescent="0.3">
      <c r="AG983" s="84"/>
    </row>
    <row r="984" spans="33:33" x14ac:dyDescent="0.3">
      <c r="AG984" s="84"/>
    </row>
    <row r="985" spans="33:33" x14ac:dyDescent="0.3">
      <c r="AG985" s="84"/>
    </row>
    <row r="986" spans="33:33" x14ac:dyDescent="0.3">
      <c r="AG986" s="84"/>
    </row>
    <row r="987" spans="33:33" x14ac:dyDescent="0.3">
      <c r="AG987" s="84"/>
    </row>
    <row r="988" spans="33:33" x14ac:dyDescent="0.3">
      <c r="AG988" s="84"/>
    </row>
    <row r="989" spans="33:33" x14ac:dyDescent="0.3">
      <c r="AG989" s="84"/>
    </row>
    <row r="990" spans="33:33" x14ac:dyDescent="0.3">
      <c r="AG990" s="84"/>
    </row>
    <row r="991" spans="33:33" x14ac:dyDescent="0.3">
      <c r="AG991" s="84"/>
    </row>
    <row r="992" spans="33:33" x14ac:dyDescent="0.3">
      <c r="AG992" s="84"/>
    </row>
    <row r="993" spans="33:33" x14ac:dyDescent="0.3">
      <c r="AG993" s="84"/>
    </row>
    <row r="994" spans="33:33" x14ac:dyDescent="0.3">
      <c r="AG994" s="84"/>
    </row>
    <row r="995" spans="33:33" x14ac:dyDescent="0.3">
      <c r="AG995" s="84"/>
    </row>
    <row r="996" spans="33:33" x14ac:dyDescent="0.3">
      <c r="AG996" s="84"/>
    </row>
    <row r="997" spans="33:33" x14ac:dyDescent="0.3">
      <c r="AG997" s="84"/>
    </row>
    <row r="998" spans="33:33" x14ac:dyDescent="0.3">
      <c r="AG998" s="84"/>
    </row>
    <row r="999" spans="33:33" x14ac:dyDescent="0.3">
      <c r="AG999" s="84"/>
    </row>
    <row r="1000" spans="33:33" x14ac:dyDescent="0.3">
      <c r="AG1000" s="84"/>
    </row>
    <row r="1001" spans="33:33" x14ac:dyDescent="0.3">
      <c r="AG1001" s="84"/>
    </row>
    <row r="1002" spans="33:33" x14ac:dyDescent="0.3">
      <c r="AG1002" s="84"/>
    </row>
    <row r="1003" spans="33:33" x14ac:dyDescent="0.3">
      <c r="AG1003" s="84"/>
    </row>
    <row r="1004" spans="33:33" x14ac:dyDescent="0.3">
      <c r="AG1004" s="84"/>
    </row>
    <row r="1005" spans="33:33" x14ac:dyDescent="0.3">
      <c r="AG1005" s="84"/>
    </row>
    <row r="1006" spans="33:33" x14ac:dyDescent="0.3">
      <c r="AG1006" s="84"/>
    </row>
    <row r="1007" spans="33:33" x14ac:dyDescent="0.3">
      <c r="AG1007" s="84"/>
    </row>
    <row r="1008" spans="33:33" x14ac:dyDescent="0.3">
      <c r="AG1008" s="84"/>
    </row>
    <row r="1009" spans="33:33" x14ac:dyDescent="0.3">
      <c r="AG1009" s="84"/>
    </row>
    <row r="1010" spans="33:33" x14ac:dyDescent="0.3">
      <c r="AG1010" s="84"/>
    </row>
    <row r="1011" spans="33:33" x14ac:dyDescent="0.3">
      <c r="AG1011" s="84"/>
    </row>
    <row r="1012" spans="33:33" x14ac:dyDescent="0.3">
      <c r="AG1012" s="84"/>
    </row>
    <row r="1013" spans="33:33" x14ac:dyDescent="0.3">
      <c r="AG1013" s="84"/>
    </row>
    <row r="1014" spans="33:33" x14ac:dyDescent="0.3">
      <c r="AG1014" s="84"/>
    </row>
    <row r="1015" spans="33:33" x14ac:dyDescent="0.3">
      <c r="AG1015" s="84"/>
    </row>
    <row r="1016" spans="33:33" x14ac:dyDescent="0.3">
      <c r="AG1016" s="84"/>
    </row>
    <row r="1017" spans="33:33" x14ac:dyDescent="0.3">
      <c r="AG1017" s="84"/>
    </row>
    <row r="1018" spans="33:33" x14ac:dyDescent="0.3">
      <c r="AG1018" s="84"/>
    </row>
    <row r="1019" spans="33:33" x14ac:dyDescent="0.3">
      <c r="AG1019" s="84"/>
    </row>
    <row r="1020" spans="33:33" x14ac:dyDescent="0.3">
      <c r="AG1020" s="84"/>
    </row>
    <row r="1021" spans="33:33" x14ac:dyDescent="0.3">
      <c r="AG1021" s="84"/>
    </row>
    <row r="1022" spans="33:33" x14ac:dyDescent="0.3">
      <c r="AG1022" s="84"/>
    </row>
    <row r="1023" spans="33:33" x14ac:dyDescent="0.3">
      <c r="AG1023" s="84"/>
    </row>
    <row r="1024" spans="33:33" x14ac:dyDescent="0.3">
      <c r="AG1024" s="84"/>
    </row>
    <row r="1025" spans="33:33" x14ac:dyDescent="0.3">
      <c r="AG1025" s="84"/>
    </row>
    <row r="1026" spans="33:33" x14ac:dyDescent="0.3">
      <c r="AG1026" s="84"/>
    </row>
    <row r="1027" spans="33:33" x14ac:dyDescent="0.3">
      <c r="AG1027" s="84"/>
    </row>
    <row r="1028" spans="33:33" x14ac:dyDescent="0.3">
      <c r="AG1028" s="84"/>
    </row>
    <row r="1029" spans="33:33" x14ac:dyDescent="0.3">
      <c r="AG1029" s="84"/>
    </row>
    <row r="1030" spans="33:33" x14ac:dyDescent="0.3">
      <c r="AG1030" s="84"/>
    </row>
    <row r="1031" spans="33:33" x14ac:dyDescent="0.3">
      <c r="AG1031" s="84"/>
    </row>
    <row r="1032" spans="33:33" x14ac:dyDescent="0.3">
      <c r="AG1032" s="84"/>
    </row>
    <row r="1033" spans="33:33" x14ac:dyDescent="0.3">
      <c r="AG1033" s="84"/>
    </row>
    <row r="1034" spans="33:33" x14ac:dyDescent="0.3">
      <c r="AG1034" s="84"/>
    </row>
    <row r="1035" spans="33:33" x14ac:dyDescent="0.3">
      <c r="AG1035" s="84"/>
    </row>
    <row r="1036" spans="33:33" x14ac:dyDescent="0.3">
      <c r="AG1036" s="84"/>
    </row>
    <row r="1037" spans="33:33" x14ac:dyDescent="0.3">
      <c r="AG1037" s="84"/>
    </row>
    <row r="1038" spans="33:33" x14ac:dyDescent="0.3">
      <c r="AG1038" s="84"/>
    </row>
    <row r="1039" spans="33:33" x14ac:dyDescent="0.3">
      <c r="AG1039" s="84"/>
    </row>
    <row r="1040" spans="33:33" x14ac:dyDescent="0.3">
      <c r="AG1040" s="84"/>
    </row>
    <row r="1041" spans="33:33" x14ac:dyDescent="0.3">
      <c r="AG1041" s="84"/>
    </row>
    <row r="1042" spans="33:33" x14ac:dyDescent="0.3">
      <c r="AG1042" s="84"/>
    </row>
    <row r="1043" spans="33:33" x14ac:dyDescent="0.3">
      <c r="AG1043" s="84"/>
    </row>
    <row r="1044" spans="33:33" x14ac:dyDescent="0.3">
      <c r="AG1044" s="84"/>
    </row>
    <row r="1045" spans="33:33" x14ac:dyDescent="0.3">
      <c r="AG1045" s="84"/>
    </row>
    <row r="1046" spans="33:33" x14ac:dyDescent="0.3">
      <c r="AG1046" s="84"/>
    </row>
    <row r="1047" spans="33:33" x14ac:dyDescent="0.3">
      <c r="AG1047" s="84"/>
    </row>
    <row r="1048" spans="33:33" x14ac:dyDescent="0.3">
      <c r="AG1048" s="84"/>
    </row>
    <row r="1049" spans="33:33" x14ac:dyDescent="0.3">
      <c r="AG1049" s="84"/>
    </row>
    <row r="1050" spans="33:33" x14ac:dyDescent="0.3">
      <c r="AG1050" s="84"/>
    </row>
    <row r="1051" spans="33:33" x14ac:dyDescent="0.3">
      <c r="AG1051" s="84"/>
    </row>
    <row r="1052" spans="33:33" x14ac:dyDescent="0.3">
      <c r="AG1052" s="84"/>
    </row>
    <row r="1053" spans="33:33" x14ac:dyDescent="0.3">
      <c r="AG1053" s="84"/>
    </row>
    <row r="1054" spans="33:33" x14ac:dyDescent="0.3">
      <c r="AG1054" s="84"/>
    </row>
    <row r="1055" spans="33:33" x14ac:dyDescent="0.3">
      <c r="AG1055" s="84"/>
    </row>
    <row r="1056" spans="33:33" x14ac:dyDescent="0.3">
      <c r="AG1056" s="84"/>
    </row>
    <row r="1057" spans="33:33" x14ac:dyDescent="0.3">
      <c r="AG1057" s="84"/>
    </row>
    <row r="1058" spans="33:33" x14ac:dyDescent="0.3">
      <c r="AG1058" s="84"/>
    </row>
    <row r="1059" spans="33:33" x14ac:dyDescent="0.3">
      <c r="AG1059" s="84"/>
    </row>
    <row r="1060" spans="33:33" x14ac:dyDescent="0.3">
      <c r="AG1060" s="84"/>
    </row>
    <row r="1061" spans="33:33" x14ac:dyDescent="0.3">
      <c r="AG1061" s="84"/>
    </row>
    <row r="1062" spans="33:33" x14ac:dyDescent="0.3">
      <c r="AG1062" s="84"/>
    </row>
    <row r="1063" spans="33:33" x14ac:dyDescent="0.3">
      <c r="AG1063" s="84"/>
    </row>
    <row r="1064" spans="33:33" x14ac:dyDescent="0.3">
      <c r="AG1064" s="84"/>
    </row>
    <row r="1065" spans="33:33" x14ac:dyDescent="0.3">
      <c r="AG1065" s="84"/>
    </row>
    <row r="1066" spans="33:33" x14ac:dyDescent="0.3">
      <c r="AG1066" s="84"/>
    </row>
    <row r="1067" spans="33:33" x14ac:dyDescent="0.3">
      <c r="AG1067" s="84"/>
    </row>
    <row r="1068" spans="33:33" x14ac:dyDescent="0.3">
      <c r="AG1068" s="84"/>
    </row>
    <row r="1069" spans="33:33" x14ac:dyDescent="0.3">
      <c r="AG1069" s="84"/>
    </row>
    <row r="1070" spans="33:33" x14ac:dyDescent="0.3">
      <c r="AG1070" s="84"/>
    </row>
    <row r="1071" spans="33:33" x14ac:dyDescent="0.3">
      <c r="AG1071" s="84"/>
    </row>
    <row r="1072" spans="33:33" x14ac:dyDescent="0.3">
      <c r="AG1072" s="84"/>
    </row>
    <row r="1073" spans="33:33" x14ac:dyDescent="0.3">
      <c r="AG1073" s="84"/>
    </row>
    <row r="1074" spans="33:33" x14ac:dyDescent="0.3">
      <c r="AG1074" s="84"/>
    </row>
    <row r="1075" spans="33:33" x14ac:dyDescent="0.3">
      <c r="AG1075" s="84"/>
    </row>
    <row r="1076" spans="33:33" x14ac:dyDescent="0.3">
      <c r="AG1076" s="84"/>
    </row>
    <row r="1077" spans="33:33" x14ac:dyDescent="0.3">
      <c r="AG1077" s="84"/>
    </row>
    <row r="1078" spans="33:33" x14ac:dyDescent="0.3">
      <c r="AG1078" s="84"/>
    </row>
    <row r="1079" spans="33:33" x14ac:dyDescent="0.3">
      <c r="AG1079" s="84"/>
    </row>
    <row r="1080" spans="33:33" x14ac:dyDescent="0.3">
      <c r="AG1080" s="84"/>
    </row>
    <row r="1081" spans="33:33" x14ac:dyDescent="0.3">
      <c r="AG1081" s="84"/>
    </row>
    <row r="1082" spans="33:33" x14ac:dyDescent="0.3">
      <c r="AG1082" s="84"/>
    </row>
    <row r="1083" spans="33:33" x14ac:dyDescent="0.3">
      <c r="AG1083" s="84"/>
    </row>
    <row r="1084" spans="33:33" x14ac:dyDescent="0.3">
      <c r="AG1084" s="84"/>
    </row>
    <row r="1085" spans="33:33" x14ac:dyDescent="0.3">
      <c r="AG1085" s="84"/>
    </row>
    <row r="1086" spans="33:33" x14ac:dyDescent="0.3">
      <c r="AG1086" s="84"/>
    </row>
    <row r="1087" spans="33:33" x14ac:dyDescent="0.3">
      <c r="AG1087" s="84"/>
    </row>
    <row r="1088" spans="33:33" x14ac:dyDescent="0.3">
      <c r="AG1088" s="84"/>
    </row>
    <row r="1089" spans="33:33" x14ac:dyDescent="0.3">
      <c r="AG1089" s="84"/>
    </row>
    <row r="1090" spans="33:33" x14ac:dyDescent="0.3">
      <c r="AG1090" s="84"/>
    </row>
    <row r="1091" spans="33:33" x14ac:dyDescent="0.3">
      <c r="AG1091" s="84"/>
    </row>
    <row r="1092" spans="33:33" x14ac:dyDescent="0.3">
      <c r="AG1092" s="84"/>
    </row>
    <row r="1093" spans="33:33" x14ac:dyDescent="0.3">
      <c r="AG1093" s="84"/>
    </row>
    <row r="1094" spans="33:33" x14ac:dyDescent="0.3">
      <c r="AG1094" s="84"/>
    </row>
    <row r="1095" spans="33:33" x14ac:dyDescent="0.3">
      <c r="AG1095" s="84"/>
    </row>
    <row r="1096" spans="33:33" x14ac:dyDescent="0.3">
      <c r="AG1096" s="84"/>
    </row>
    <row r="1097" spans="33:33" x14ac:dyDescent="0.3">
      <c r="AG1097" s="84"/>
    </row>
    <row r="1098" spans="33:33" x14ac:dyDescent="0.3">
      <c r="AG1098" s="84"/>
    </row>
    <row r="1099" spans="33:33" x14ac:dyDescent="0.3">
      <c r="AG1099" s="84"/>
    </row>
    <row r="1100" spans="33:33" x14ac:dyDescent="0.3">
      <c r="AG1100" s="84"/>
    </row>
    <row r="1101" spans="33:33" x14ac:dyDescent="0.3">
      <c r="AG1101" s="84"/>
    </row>
    <row r="1102" spans="33:33" x14ac:dyDescent="0.3">
      <c r="AG1102" s="84"/>
    </row>
    <row r="1103" spans="33:33" x14ac:dyDescent="0.3">
      <c r="AG1103" s="84"/>
    </row>
    <row r="1104" spans="33:33" x14ac:dyDescent="0.3">
      <c r="AG1104" s="84"/>
    </row>
    <row r="1105" spans="33:33" x14ac:dyDescent="0.3">
      <c r="AG1105" s="84"/>
    </row>
  </sheetData>
  <mergeCells count="88">
    <mergeCell ref="B71:E71"/>
    <mergeCell ref="B72:E72"/>
    <mergeCell ref="B73:E73"/>
    <mergeCell ref="B66:E66"/>
    <mergeCell ref="B67:E67"/>
    <mergeCell ref="B68:E68"/>
    <mergeCell ref="B69:E69"/>
    <mergeCell ref="B70:E70"/>
    <mergeCell ref="B61:E61"/>
    <mergeCell ref="B62:E62"/>
    <mergeCell ref="B63:E63"/>
    <mergeCell ref="B64:E64"/>
    <mergeCell ref="B65:E65"/>
    <mergeCell ref="B56:E56"/>
    <mergeCell ref="B57:E57"/>
    <mergeCell ref="B58:E58"/>
    <mergeCell ref="B59:E59"/>
    <mergeCell ref="B60:E60"/>
    <mergeCell ref="B1:I1"/>
    <mergeCell ref="S3:W3"/>
    <mergeCell ref="A4:E5"/>
    <mergeCell ref="P4:P5"/>
    <mergeCell ref="Q4:Q5"/>
    <mergeCell ref="R4:R5"/>
    <mergeCell ref="S4:S5"/>
    <mergeCell ref="T4:T5"/>
    <mergeCell ref="V4:V5"/>
    <mergeCell ref="W4:W5"/>
    <mergeCell ref="AF4:AF5"/>
    <mergeCell ref="AG4:AG5"/>
    <mergeCell ref="AH4:AH5"/>
    <mergeCell ref="AK4:AK5"/>
    <mergeCell ref="A6:E6"/>
    <mergeCell ref="X4:X5"/>
    <mergeCell ref="Y4:Y5"/>
    <mergeCell ref="Z4:Z5"/>
    <mergeCell ref="AA4:AA5"/>
    <mergeCell ref="AB4:AB5"/>
    <mergeCell ref="AC4:AC5"/>
    <mergeCell ref="B21:E21"/>
    <mergeCell ref="B7:E7"/>
    <mergeCell ref="B8:E8"/>
    <mergeCell ref="B9:E9"/>
    <mergeCell ref="B10:E10"/>
    <mergeCell ref="B11:E11"/>
    <mergeCell ref="B12:E12"/>
    <mergeCell ref="B13:E13"/>
    <mergeCell ref="B14:E14"/>
    <mergeCell ref="B15:E15"/>
    <mergeCell ref="B16:E16"/>
    <mergeCell ref="B17:E17"/>
    <mergeCell ref="B18:E18"/>
    <mergeCell ref="B19:E19"/>
    <mergeCell ref="B20:E20"/>
    <mergeCell ref="B33:E33"/>
    <mergeCell ref="B22:E22"/>
    <mergeCell ref="B23:E23"/>
    <mergeCell ref="B24:E24"/>
    <mergeCell ref="B25:E25"/>
    <mergeCell ref="B26:E26"/>
    <mergeCell ref="B27:E27"/>
    <mergeCell ref="B28:E28"/>
    <mergeCell ref="B29:E29"/>
    <mergeCell ref="B30:E30"/>
    <mergeCell ref="B31:E31"/>
    <mergeCell ref="B32:E32"/>
    <mergeCell ref="B45:E45"/>
    <mergeCell ref="B34:E34"/>
    <mergeCell ref="B35:E35"/>
    <mergeCell ref="B36:E36"/>
    <mergeCell ref="B37:E37"/>
    <mergeCell ref="B38:E38"/>
    <mergeCell ref="B39:E39"/>
    <mergeCell ref="B40:E40"/>
    <mergeCell ref="B41:E41"/>
    <mergeCell ref="B42:E42"/>
    <mergeCell ref="B43:E43"/>
    <mergeCell ref="B44:E44"/>
    <mergeCell ref="B52:E52"/>
    <mergeCell ref="B53:E53"/>
    <mergeCell ref="B54:E54"/>
    <mergeCell ref="B55:E55"/>
    <mergeCell ref="B46:E46"/>
    <mergeCell ref="B47:E47"/>
    <mergeCell ref="B48:E48"/>
    <mergeCell ref="B49:E49"/>
    <mergeCell ref="B50:E50"/>
    <mergeCell ref="B51:E51"/>
  </mergeCells>
  <pageMargins left="0.69930555555555596" right="0.69930555555555596" top="0.75" bottom="0.75" header="0.3" footer="0.3"/>
  <pageSetup paperSize="10000" scale="38" orientation="landscape" r:id="rId1"/>
  <rowBreaks count="1" manualBreakCount="1">
    <brk id="51" max="85" man="1"/>
  </rowBreaks>
  <colBreaks count="1" manualBreakCount="1">
    <brk id="37" min="3" max="343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9FCF8C-687E-47D2-9243-E9A0382AD093}">
  <dimension ref="A1:EU1105"/>
  <sheetViews>
    <sheetView zoomScale="110" zoomScaleNormal="110" zoomScaleSheetLayoutView="98" workbookViewId="0">
      <pane xSplit="6" ySplit="5" topLeftCell="X6" activePane="bottomRight" state="frozen"/>
      <selection activeCell="A16" sqref="A16:XFD16"/>
      <selection pane="topRight" activeCell="A16" sqref="A16:XFD16"/>
      <selection pane="bottomLeft" activeCell="A16" sqref="A16:XFD16"/>
      <selection pane="bottomRight" activeCell="AL15" sqref="AL15"/>
    </sheetView>
  </sheetViews>
  <sheetFormatPr defaultColWidth="9" defaultRowHeight="14.4" x14ac:dyDescent="0.3"/>
  <cols>
    <col min="1" max="1" width="3" customWidth="1"/>
    <col min="2" max="2" width="16.44140625" bestFit="1" customWidth="1"/>
    <col min="3" max="3" width="1.88671875" customWidth="1"/>
    <col min="4" max="4" width="13.109375" customWidth="1"/>
    <col min="5" max="5" width="3" customWidth="1"/>
    <col min="6" max="6" width="17.5546875" hidden="1" customWidth="1"/>
    <col min="7" max="7" width="12" customWidth="1"/>
    <col min="8" max="8" width="41.44140625" hidden="1" customWidth="1"/>
    <col min="9" max="9" width="10.5546875" customWidth="1"/>
    <col min="10" max="10" width="43" hidden="1" customWidth="1"/>
    <col min="11" max="11" width="10.5546875" customWidth="1"/>
    <col min="12" max="12" width="31.44140625" hidden="1" customWidth="1"/>
    <col min="13" max="13" width="9" customWidth="1"/>
    <col min="14" max="14" width="28.109375" hidden="1" customWidth="1"/>
    <col min="15" max="15" width="10.44140625" customWidth="1"/>
    <col min="16" max="16" width="10.109375" customWidth="1"/>
    <col min="17" max="17" width="8.88671875" bestFit="1" customWidth="1"/>
    <col min="18" max="20" width="8.44140625" customWidth="1"/>
    <col min="21" max="21" width="9.33203125" customWidth="1"/>
    <col min="22" max="23" width="9.6640625" customWidth="1"/>
    <col min="24" max="24" width="10.109375" customWidth="1"/>
    <col min="25" max="25" width="9.109375" customWidth="1"/>
    <col min="26" max="26" width="9.88671875" customWidth="1"/>
    <col min="27" max="27" width="8.33203125" customWidth="1"/>
    <col min="28" max="28" width="8.109375" customWidth="1"/>
    <col min="29" max="29" width="11.33203125" customWidth="1"/>
    <col min="30" max="30" width="11.6640625" customWidth="1"/>
    <col min="31" max="31" width="8.33203125" customWidth="1"/>
    <col min="32" max="32" width="12.44140625" customWidth="1"/>
    <col min="33" max="33" width="9.88671875" customWidth="1"/>
    <col min="34" max="34" width="10.5546875" customWidth="1"/>
    <col min="35" max="35" width="10.33203125" customWidth="1"/>
    <col min="36" max="36" width="8.5546875" customWidth="1"/>
    <col min="37" max="37" width="12.5546875" customWidth="1"/>
    <col min="38" max="38" width="6.109375" customWidth="1"/>
    <col min="39" max="39" width="3" customWidth="1"/>
  </cols>
  <sheetData>
    <row r="1" spans="1:115" x14ac:dyDescent="0.3">
      <c r="A1" s="1"/>
      <c r="B1" s="116"/>
      <c r="C1" s="116"/>
      <c r="D1" s="116"/>
      <c r="E1" s="116"/>
      <c r="F1" s="116"/>
      <c r="G1" s="116"/>
      <c r="H1" s="116"/>
      <c r="I1" s="116"/>
      <c r="J1" s="2"/>
      <c r="K1" s="2"/>
      <c r="L1" s="3"/>
      <c r="M1" s="2"/>
      <c r="N1" s="2"/>
      <c r="O1" s="2"/>
      <c r="Q1" s="2"/>
      <c r="R1" s="2"/>
      <c r="S1" s="2"/>
      <c r="T1" s="2"/>
      <c r="AG1" s="4"/>
      <c r="AH1" s="4"/>
      <c r="AL1" s="5"/>
      <c r="AM1" s="6"/>
      <c r="AN1" s="5"/>
      <c r="AO1" s="5"/>
      <c r="AP1" s="5"/>
      <c r="AQ1" s="5"/>
      <c r="AR1" s="7"/>
      <c r="AS1" s="7"/>
      <c r="AT1" s="7"/>
      <c r="AU1" s="7"/>
      <c r="AV1" s="7"/>
    </row>
    <row r="2" spans="1:115" ht="12" hidden="1" customHeight="1" x14ac:dyDescent="0.3">
      <c r="A2" s="8"/>
      <c r="B2" s="9"/>
      <c r="C2" s="10" t="s">
        <v>0</v>
      </c>
      <c r="D2" s="11"/>
      <c r="E2" s="10"/>
      <c r="F2" s="10"/>
      <c r="H2" s="12" t="s">
        <v>1</v>
      </c>
      <c r="I2" s="13"/>
      <c r="J2" s="14"/>
      <c r="K2" s="15" t="s">
        <v>2</v>
      </c>
      <c r="L2" s="14"/>
      <c r="M2" s="16"/>
      <c r="N2" s="17"/>
      <c r="O2" s="18"/>
      <c r="Q2" s="19"/>
      <c r="R2" s="19" t="s">
        <v>3</v>
      </c>
      <c r="S2" s="20"/>
      <c r="U2" s="21" t="s">
        <v>4</v>
      </c>
      <c r="V2" s="21"/>
      <c r="W2" s="22"/>
      <c r="Y2" s="23" t="s">
        <v>5</v>
      </c>
      <c r="Z2" s="24"/>
      <c r="AB2" s="25" t="s">
        <v>6</v>
      </c>
      <c r="AC2" s="26"/>
      <c r="AD2" s="27"/>
      <c r="AE2" s="28" t="s">
        <v>7</v>
      </c>
      <c r="AF2" s="29"/>
      <c r="AG2" s="30"/>
      <c r="AH2" s="31" t="s">
        <v>8</v>
      </c>
      <c r="AI2" s="32"/>
      <c r="AJ2" s="32"/>
      <c r="AN2" s="5"/>
      <c r="AO2" s="5"/>
      <c r="AP2" s="5"/>
      <c r="AQ2" s="5"/>
      <c r="AR2" s="7"/>
      <c r="AS2" s="7"/>
      <c r="AT2" s="7"/>
      <c r="AU2" s="7"/>
      <c r="AV2" s="7"/>
    </row>
    <row r="3" spans="1:115" ht="15" customHeight="1" x14ac:dyDescent="0.3">
      <c r="A3" s="33" t="s">
        <v>9</v>
      </c>
      <c r="B3" s="34"/>
      <c r="C3" s="35"/>
      <c r="D3" s="34"/>
      <c r="E3" s="36"/>
      <c r="F3" s="37"/>
      <c r="G3" s="38" t="s">
        <v>10</v>
      </c>
      <c r="H3" s="39"/>
      <c r="I3" s="38"/>
      <c r="J3" s="38"/>
      <c r="K3" s="40"/>
      <c r="L3" s="41"/>
      <c r="M3" s="42"/>
      <c r="N3" s="43"/>
      <c r="O3" s="43"/>
      <c r="P3" s="44"/>
      <c r="Q3" s="45"/>
      <c r="R3" s="46"/>
      <c r="S3" s="117" t="s">
        <v>11</v>
      </c>
      <c r="T3" s="117"/>
      <c r="U3" s="118"/>
      <c r="V3" s="118"/>
      <c r="W3" s="118"/>
      <c r="X3" s="40"/>
      <c r="Y3" s="40"/>
      <c r="Z3" s="40"/>
      <c r="AA3" s="40"/>
      <c r="AB3" s="40"/>
      <c r="AC3" s="40"/>
      <c r="AD3" s="40"/>
      <c r="AE3" s="40"/>
      <c r="AF3" s="40"/>
      <c r="AG3" s="40"/>
      <c r="AH3" s="40"/>
      <c r="AI3" s="40"/>
      <c r="AJ3" s="40"/>
      <c r="AK3" s="47"/>
      <c r="AL3" s="35"/>
      <c r="AM3" s="48"/>
    </row>
    <row r="4" spans="1:115" s="1" customFormat="1" ht="22.5" customHeight="1" x14ac:dyDescent="0.3">
      <c r="A4" s="119" t="s">
        <v>12</v>
      </c>
      <c r="B4" s="119"/>
      <c r="C4" s="119"/>
      <c r="D4" s="119"/>
      <c r="E4" s="119"/>
      <c r="F4" s="49" t="s">
        <v>13</v>
      </c>
      <c r="G4" s="103" t="s">
        <v>14</v>
      </c>
      <c r="H4" s="104" t="s">
        <v>15</v>
      </c>
      <c r="I4" s="105" t="s">
        <v>15</v>
      </c>
      <c r="J4" s="104" t="s">
        <v>16</v>
      </c>
      <c r="K4" s="105" t="s">
        <v>17</v>
      </c>
      <c r="L4" s="104" t="s">
        <v>18</v>
      </c>
      <c r="M4" s="41" t="s">
        <v>19</v>
      </c>
      <c r="N4" s="106" t="s">
        <v>20</v>
      </c>
      <c r="O4" s="105" t="s">
        <v>21</v>
      </c>
      <c r="P4" s="112" t="s">
        <v>22</v>
      </c>
      <c r="Q4" s="112" t="s">
        <v>23</v>
      </c>
      <c r="R4" s="112" t="s">
        <v>24</v>
      </c>
      <c r="S4" s="120" t="s">
        <v>25</v>
      </c>
      <c r="T4" s="120" t="s">
        <v>26</v>
      </c>
      <c r="U4" s="51" t="s">
        <v>27</v>
      </c>
      <c r="V4" s="112" t="s">
        <v>28</v>
      </c>
      <c r="W4" s="112" t="s">
        <v>29</v>
      </c>
      <c r="X4" s="112" t="s">
        <v>30</v>
      </c>
      <c r="Y4" s="112" t="s">
        <v>31</v>
      </c>
      <c r="Z4" s="112" t="s">
        <v>32</v>
      </c>
      <c r="AA4" s="112" t="s">
        <v>33</v>
      </c>
      <c r="AB4" s="112" t="s">
        <v>34</v>
      </c>
      <c r="AC4" s="112" t="s">
        <v>35</v>
      </c>
      <c r="AD4" s="52" t="s">
        <v>36</v>
      </c>
      <c r="AE4" s="50" t="s">
        <v>37</v>
      </c>
      <c r="AF4" s="112" t="s">
        <v>38</v>
      </c>
      <c r="AG4" s="112" t="s">
        <v>39</v>
      </c>
      <c r="AH4" s="112" t="s">
        <v>40</v>
      </c>
      <c r="AI4" s="50" t="s">
        <v>41</v>
      </c>
      <c r="AJ4" s="50" t="s">
        <v>42</v>
      </c>
      <c r="AK4" s="113" t="s">
        <v>43</v>
      </c>
      <c r="AL4" s="33"/>
      <c r="AM4" s="48"/>
      <c r="AN4" s="5"/>
      <c r="AO4" s="5"/>
      <c r="AP4" s="5"/>
      <c r="AQ4" s="5"/>
      <c r="AR4" s="7"/>
      <c r="AS4" s="7"/>
      <c r="AT4" s="7"/>
      <c r="AU4" s="7"/>
      <c r="AV4" s="7"/>
      <c r="AW4"/>
      <c r="AX4"/>
      <c r="AY4"/>
      <c r="AZ4"/>
      <c r="BA4"/>
      <c r="BB4"/>
      <c r="BC4"/>
      <c r="BD4"/>
      <c r="BE4"/>
      <c r="BF4"/>
      <c r="BG4"/>
    </row>
    <row r="5" spans="1:115" s="1" customFormat="1" ht="18" customHeight="1" x14ac:dyDescent="0.3">
      <c r="A5" s="119"/>
      <c r="B5" s="119"/>
      <c r="C5" s="119"/>
      <c r="D5" s="119"/>
      <c r="E5" s="119"/>
      <c r="F5" s="49"/>
      <c r="G5" s="105" t="s">
        <v>44</v>
      </c>
      <c r="H5" s="104" t="s">
        <v>45</v>
      </c>
      <c r="I5" s="105" t="s">
        <v>44</v>
      </c>
      <c r="J5" s="104" t="s">
        <v>45</v>
      </c>
      <c r="K5" s="105" t="s">
        <v>44</v>
      </c>
      <c r="L5" s="104" t="s">
        <v>45</v>
      </c>
      <c r="M5" s="105" t="s">
        <v>44</v>
      </c>
      <c r="N5" s="107" t="s">
        <v>46</v>
      </c>
      <c r="O5" s="105" t="s">
        <v>44</v>
      </c>
      <c r="P5" s="112"/>
      <c r="Q5" s="112"/>
      <c r="R5" s="112"/>
      <c r="S5" s="120"/>
      <c r="T5" s="120"/>
      <c r="U5" s="53"/>
      <c r="V5" s="112"/>
      <c r="W5" s="112"/>
      <c r="X5" s="112"/>
      <c r="Y5" s="112"/>
      <c r="Z5" s="112"/>
      <c r="AA5" s="112"/>
      <c r="AB5" s="112"/>
      <c r="AC5" s="112"/>
      <c r="AD5" s="50" t="s">
        <v>47</v>
      </c>
      <c r="AE5" s="50" t="s">
        <v>48</v>
      </c>
      <c r="AF5" s="112"/>
      <c r="AG5" s="112"/>
      <c r="AH5" s="112"/>
      <c r="AI5" s="54" t="s">
        <v>47</v>
      </c>
      <c r="AJ5" s="54" t="s">
        <v>49</v>
      </c>
      <c r="AK5" s="113"/>
      <c r="AL5" s="33"/>
      <c r="AM5" s="48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</row>
    <row r="6" spans="1:115" s="1" customFormat="1" ht="15" customHeight="1" x14ac:dyDescent="0.3">
      <c r="A6" s="114" t="s">
        <v>56</v>
      </c>
      <c r="B6" s="115"/>
      <c r="C6" s="115"/>
      <c r="D6" s="115"/>
      <c r="E6" s="115"/>
      <c r="F6" s="55"/>
      <c r="G6" s="56"/>
      <c r="H6" s="57"/>
      <c r="I6" s="57"/>
      <c r="J6" s="57"/>
      <c r="K6" s="57"/>
      <c r="L6" s="57"/>
      <c r="M6" s="57"/>
      <c r="N6" s="58"/>
      <c r="O6" s="58"/>
      <c r="P6" s="59"/>
      <c r="Q6" s="55"/>
      <c r="R6" s="55"/>
      <c r="S6" s="60"/>
      <c r="T6" s="60"/>
      <c r="U6" s="61"/>
      <c r="V6" s="55"/>
      <c r="W6" s="55"/>
      <c r="X6" s="55"/>
      <c r="Y6" s="55"/>
      <c r="Z6" s="55"/>
      <c r="AA6" s="55"/>
      <c r="AB6" s="55"/>
      <c r="AC6" s="55"/>
      <c r="AD6" s="55"/>
      <c r="AE6" s="55"/>
      <c r="AF6" s="55"/>
      <c r="AG6" s="55"/>
      <c r="AH6" s="55"/>
      <c r="AI6" s="62"/>
      <c r="AJ6" s="62"/>
      <c r="AK6" s="63"/>
      <c r="AL6" s="64"/>
      <c r="AM6" s="48"/>
      <c r="AN6" s="5"/>
      <c r="AO6" s="5"/>
      <c r="AP6" s="5"/>
      <c r="AQ6" s="5"/>
      <c r="AR6" s="7"/>
      <c r="AS6" s="7"/>
      <c r="AT6" s="7"/>
      <c r="AU6" s="7"/>
      <c r="AV6" s="7"/>
      <c r="AW6"/>
      <c r="AX6"/>
      <c r="AY6"/>
      <c r="AZ6"/>
      <c r="BA6"/>
      <c r="BB6"/>
      <c r="BC6"/>
      <c r="BD6"/>
      <c r="BE6"/>
      <c r="BF6"/>
      <c r="BG6"/>
    </row>
    <row r="7" spans="1:115" ht="15" customHeight="1" x14ac:dyDescent="0.3">
      <c r="A7" s="65"/>
      <c r="B7" s="109"/>
      <c r="C7" s="110"/>
      <c r="D7" s="110"/>
      <c r="E7" s="111"/>
      <c r="F7" s="85"/>
      <c r="G7" s="86"/>
      <c r="H7" s="86"/>
      <c r="I7" s="86"/>
      <c r="J7" s="86"/>
      <c r="K7" s="86"/>
      <c r="L7" s="86"/>
      <c r="M7" s="86"/>
      <c r="N7" s="86"/>
      <c r="O7" s="86"/>
      <c r="P7" s="86"/>
      <c r="Q7" s="67">
        <f t="shared" ref="Q7:Q70" si="0">P7*0.02</f>
        <v>0</v>
      </c>
      <c r="R7" s="67">
        <f t="shared" ref="R7:R70" si="1">P7+Q7</f>
        <v>0</v>
      </c>
      <c r="S7" s="86"/>
      <c r="T7" s="86"/>
      <c r="U7" s="86"/>
      <c r="V7" s="86"/>
      <c r="W7" s="66">
        <f t="shared" ref="W7:W70" si="2">G7+I7+K7+M7+O7+R7+S7+T7+U7+V7</f>
        <v>0</v>
      </c>
      <c r="X7" s="96"/>
      <c r="Y7" s="68">
        <f t="shared" ref="Y7:Y70" si="3">X7*0.02</f>
        <v>0</v>
      </c>
      <c r="Z7" s="68">
        <f t="shared" ref="Z7:Z70" si="4">X7+Y7</f>
        <v>0</v>
      </c>
      <c r="AA7" s="72"/>
      <c r="AB7" s="68">
        <f>AA7*0.025</f>
        <v>0</v>
      </c>
      <c r="AC7" s="68">
        <f>AA7+AB7</f>
        <v>0</v>
      </c>
      <c r="AD7" s="68"/>
      <c r="AE7" s="55"/>
      <c r="AF7" s="69">
        <f t="shared" ref="AF7:AF73" si="5">W7+Z7+AC7+AD7+AE7</f>
        <v>0</v>
      </c>
      <c r="AG7" s="86"/>
      <c r="AH7" s="108"/>
      <c r="AI7" s="108"/>
      <c r="AJ7" s="108"/>
      <c r="AK7" s="70">
        <f t="shared" ref="AK7:AK70" si="6">AF7-AG7-AH7-AI7-AJ7</f>
        <v>0</v>
      </c>
      <c r="AL7" s="71"/>
      <c r="AM7" s="48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</row>
    <row r="8" spans="1:115" ht="15.75" customHeight="1" x14ac:dyDescent="0.3">
      <c r="A8" s="65"/>
      <c r="B8" s="109"/>
      <c r="C8" s="110"/>
      <c r="D8" s="110"/>
      <c r="E8" s="111"/>
      <c r="F8" s="85"/>
      <c r="G8" s="86"/>
      <c r="H8" s="86"/>
      <c r="I8" s="86"/>
      <c r="J8" s="86"/>
      <c r="K8" s="86"/>
      <c r="L8" s="86"/>
      <c r="M8" s="86"/>
      <c r="N8" s="86"/>
      <c r="O8" s="86"/>
      <c r="P8" s="86"/>
      <c r="Q8" s="67">
        <f t="shared" si="0"/>
        <v>0</v>
      </c>
      <c r="R8" s="67">
        <f t="shared" si="1"/>
        <v>0</v>
      </c>
      <c r="S8" s="86"/>
      <c r="T8" s="86"/>
      <c r="U8" s="86"/>
      <c r="V8" s="86"/>
      <c r="W8" s="66">
        <f t="shared" si="2"/>
        <v>0</v>
      </c>
      <c r="X8" s="97"/>
      <c r="Y8" s="68">
        <f t="shared" si="3"/>
        <v>0</v>
      </c>
      <c r="Z8" s="68">
        <f t="shared" si="4"/>
        <v>0</v>
      </c>
      <c r="AA8" s="72"/>
      <c r="AB8" s="68">
        <f t="shared" ref="AB8:AB73" si="7">AA8*0.025</f>
        <v>0</v>
      </c>
      <c r="AC8" s="68">
        <f t="shared" ref="AC8:AC73" si="8">AA8+AB8</f>
        <v>0</v>
      </c>
      <c r="AD8" s="68"/>
      <c r="AE8" s="55"/>
      <c r="AF8" s="69">
        <f t="shared" si="5"/>
        <v>0</v>
      </c>
      <c r="AG8" s="86"/>
      <c r="AH8" s="108"/>
      <c r="AI8" s="108"/>
      <c r="AJ8" s="108"/>
      <c r="AK8" s="70">
        <f t="shared" si="6"/>
        <v>0</v>
      </c>
      <c r="AL8" s="71"/>
      <c r="AM8" s="48"/>
      <c r="AN8" s="5"/>
      <c r="AO8" s="5"/>
      <c r="AP8" s="5"/>
      <c r="AQ8" s="5"/>
      <c r="AR8" s="7"/>
      <c r="AS8" s="7"/>
      <c r="AT8" s="7"/>
      <c r="AU8" s="7"/>
      <c r="AV8" s="7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</row>
    <row r="9" spans="1:115" ht="14.25" customHeight="1" x14ac:dyDescent="0.3">
      <c r="A9" s="65"/>
      <c r="B9" s="109"/>
      <c r="C9" s="110"/>
      <c r="D9" s="110"/>
      <c r="E9" s="111"/>
      <c r="F9" s="85"/>
      <c r="G9" s="86"/>
      <c r="H9" s="86"/>
      <c r="I9" s="86"/>
      <c r="J9" s="86"/>
      <c r="K9" s="86"/>
      <c r="L9" s="86"/>
      <c r="M9" s="86"/>
      <c r="N9" s="86"/>
      <c r="O9" s="86"/>
      <c r="P9" s="86"/>
      <c r="Q9" s="67">
        <f t="shared" si="0"/>
        <v>0</v>
      </c>
      <c r="R9" s="67">
        <f t="shared" si="1"/>
        <v>0</v>
      </c>
      <c r="S9" s="86"/>
      <c r="T9" s="86"/>
      <c r="U9" s="86"/>
      <c r="V9" s="86"/>
      <c r="W9" s="66">
        <f t="shared" si="2"/>
        <v>0</v>
      </c>
      <c r="X9" s="98"/>
      <c r="Y9" s="68">
        <f t="shared" si="3"/>
        <v>0</v>
      </c>
      <c r="Z9" s="68">
        <f t="shared" si="4"/>
        <v>0</v>
      </c>
      <c r="AA9" s="72"/>
      <c r="AB9" s="68">
        <f t="shared" si="7"/>
        <v>0</v>
      </c>
      <c r="AC9" s="68">
        <f t="shared" si="8"/>
        <v>0</v>
      </c>
      <c r="AD9" s="68"/>
      <c r="AE9" s="55"/>
      <c r="AF9" s="69">
        <f t="shared" si="5"/>
        <v>0</v>
      </c>
      <c r="AG9" s="86"/>
      <c r="AH9" s="108"/>
      <c r="AI9" s="108"/>
      <c r="AJ9" s="108"/>
      <c r="AK9" s="70">
        <f t="shared" si="6"/>
        <v>0</v>
      </c>
      <c r="AL9" s="71"/>
      <c r="AM9" s="48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</row>
    <row r="10" spans="1:115" ht="15" customHeight="1" x14ac:dyDescent="0.3">
      <c r="A10" s="65"/>
      <c r="B10" s="109"/>
      <c r="C10" s="110"/>
      <c r="D10" s="110"/>
      <c r="E10" s="111"/>
      <c r="F10" s="85"/>
      <c r="G10" s="86"/>
      <c r="H10" s="86"/>
      <c r="I10" s="86"/>
      <c r="J10" s="86"/>
      <c r="K10" s="86"/>
      <c r="L10" s="86"/>
      <c r="M10" s="86"/>
      <c r="N10" s="86"/>
      <c r="O10" s="86"/>
      <c r="P10" s="86"/>
      <c r="Q10" s="67">
        <f t="shared" si="0"/>
        <v>0</v>
      </c>
      <c r="R10" s="67">
        <f t="shared" si="1"/>
        <v>0</v>
      </c>
      <c r="S10" s="86"/>
      <c r="T10" s="86"/>
      <c r="U10" s="86"/>
      <c r="V10" s="86"/>
      <c r="W10" s="66">
        <f t="shared" si="2"/>
        <v>0</v>
      </c>
      <c r="X10" s="97"/>
      <c r="Y10" s="68">
        <f t="shared" si="3"/>
        <v>0</v>
      </c>
      <c r="Z10" s="68">
        <f t="shared" si="4"/>
        <v>0</v>
      </c>
      <c r="AA10" s="72"/>
      <c r="AB10" s="68">
        <f t="shared" si="7"/>
        <v>0</v>
      </c>
      <c r="AC10" s="68">
        <f t="shared" si="8"/>
        <v>0</v>
      </c>
      <c r="AD10" s="68"/>
      <c r="AE10" s="55"/>
      <c r="AF10" s="69">
        <f t="shared" si="5"/>
        <v>0</v>
      </c>
      <c r="AG10" s="86"/>
      <c r="AH10" s="108"/>
      <c r="AI10" s="108"/>
      <c r="AJ10" s="108"/>
      <c r="AK10" s="70">
        <f t="shared" si="6"/>
        <v>0</v>
      </c>
      <c r="AL10" s="71"/>
      <c r="AM10" s="48"/>
      <c r="AN10" s="5"/>
      <c r="AO10" s="5"/>
      <c r="AP10" s="5"/>
      <c r="AQ10" s="5"/>
      <c r="AR10" s="7"/>
      <c r="AS10" s="7"/>
      <c r="AT10" s="7"/>
      <c r="AU10" s="7"/>
      <c r="AV10" s="7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</row>
    <row r="11" spans="1:115" s="42" customFormat="1" ht="15" customHeight="1" x14ac:dyDescent="0.3">
      <c r="A11" s="65"/>
      <c r="B11" s="109"/>
      <c r="C11" s="110"/>
      <c r="D11" s="110"/>
      <c r="E11" s="111"/>
      <c r="F11" s="93"/>
      <c r="G11" s="86"/>
      <c r="H11" s="86"/>
      <c r="I11" s="86"/>
      <c r="J11" s="86"/>
      <c r="K11" s="86"/>
      <c r="L11" s="86"/>
      <c r="M11" s="86"/>
      <c r="N11" s="86"/>
      <c r="O11" s="86"/>
      <c r="P11" s="86"/>
      <c r="Q11" s="67">
        <f t="shared" si="0"/>
        <v>0</v>
      </c>
      <c r="R11" s="67">
        <f t="shared" si="1"/>
        <v>0</v>
      </c>
      <c r="S11" s="86"/>
      <c r="T11" s="86"/>
      <c r="U11" s="86"/>
      <c r="V11" s="86"/>
      <c r="W11" s="66">
        <f t="shared" si="2"/>
        <v>0</v>
      </c>
      <c r="X11" s="99"/>
      <c r="Y11" s="68">
        <f t="shared" si="3"/>
        <v>0</v>
      </c>
      <c r="Z11" s="68">
        <f t="shared" si="4"/>
        <v>0</v>
      </c>
      <c r="AA11" s="72"/>
      <c r="AB11" s="68">
        <f t="shared" si="7"/>
        <v>0</v>
      </c>
      <c r="AC11" s="68">
        <f t="shared" si="8"/>
        <v>0</v>
      </c>
      <c r="AD11" s="68"/>
      <c r="AE11" s="55"/>
      <c r="AF11" s="69">
        <f t="shared" si="5"/>
        <v>0</v>
      </c>
      <c r="AG11" s="86"/>
      <c r="AH11" s="108"/>
      <c r="AI11" s="108"/>
      <c r="AJ11" s="108"/>
      <c r="AK11" s="70">
        <f t="shared" si="6"/>
        <v>0</v>
      </c>
      <c r="AL11" s="71"/>
      <c r="AM11" s="48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</row>
    <row r="12" spans="1:115" s="74" customFormat="1" ht="15" customHeight="1" x14ac:dyDescent="0.3">
      <c r="A12" s="65"/>
      <c r="B12" s="109"/>
      <c r="C12" s="110"/>
      <c r="D12" s="110"/>
      <c r="E12" s="111"/>
      <c r="F12" s="93"/>
      <c r="G12" s="86"/>
      <c r="H12" s="86"/>
      <c r="I12" s="86"/>
      <c r="J12" s="86"/>
      <c r="K12" s="86"/>
      <c r="L12" s="86"/>
      <c r="M12" s="86"/>
      <c r="N12" s="86"/>
      <c r="O12" s="86"/>
      <c r="P12" s="87"/>
      <c r="Q12" s="67">
        <f t="shared" si="0"/>
        <v>0</v>
      </c>
      <c r="R12" s="67">
        <f t="shared" si="1"/>
        <v>0</v>
      </c>
      <c r="S12" s="86"/>
      <c r="T12" s="86"/>
      <c r="U12" s="86"/>
      <c r="V12" s="86"/>
      <c r="W12" s="66">
        <f t="shared" si="2"/>
        <v>0</v>
      </c>
      <c r="X12" s="96"/>
      <c r="Y12" s="68">
        <f t="shared" si="3"/>
        <v>0</v>
      </c>
      <c r="Z12" s="68">
        <f t="shared" si="4"/>
        <v>0</v>
      </c>
      <c r="AA12" s="72"/>
      <c r="AB12" s="68">
        <f t="shared" si="7"/>
        <v>0</v>
      </c>
      <c r="AC12" s="68">
        <f t="shared" si="8"/>
        <v>0</v>
      </c>
      <c r="AD12" s="68"/>
      <c r="AE12" s="55"/>
      <c r="AF12" s="69">
        <f t="shared" si="5"/>
        <v>0</v>
      </c>
      <c r="AG12" s="86"/>
      <c r="AH12" s="108"/>
      <c r="AI12" s="108"/>
      <c r="AJ12" s="108"/>
      <c r="AK12" s="70">
        <f t="shared" si="6"/>
        <v>0</v>
      </c>
      <c r="AL12" s="71"/>
      <c r="AM12" s="48"/>
      <c r="AN12" s="5"/>
      <c r="AO12" s="5"/>
      <c r="AP12" s="5"/>
      <c r="AQ12" s="5"/>
      <c r="AR12" s="7"/>
      <c r="AS12" s="7"/>
      <c r="AT12" s="7"/>
      <c r="AU12" s="7"/>
      <c r="AV12" s="7"/>
      <c r="AW12"/>
      <c r="AX12"/>
      <c r="AY12"/>
      <c r="AZ12"/>
      <c r="BA12"/>
      <c r="BB12"/>
      <c r="BC12"/>
      <c r="BD12"/>
      <c r="BE12"/>
      <c r="BF12"/>
      <c r="BG12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</row>
    <row r="13" spans="1:115" s="42" customFormat="1" ht="15" customHeight="1" x14ac:dyDescent="0.3">
      <c r="A13" s="65"/>
      <c r="B13" s="109"/>
      <c r="C13" s="110"/>
      <c r="D13" s="110"/>
      <c r="E13" s="111"/>
      <c r="F13" s="93"/>
      <c r="G13" s="86"/>
      <c r="H13" s="86"/>
      <c r="I13" s="86"/>
      <c r="J13" s="86"/>
      <c r="K13" s="86"/>
      <c r="L13" s="86"/>
      <c r="M13" s="86"/>
      <c r="N13" s="86"/>
      <c r="O13" s="86"/>
      <c r="P13" s="86"/>
      <c r="Q13" s="67">
        <f t="shared" si="0"/>
        <v>0</v>
      </c>
      <c r="R13" s="67">
        <f t="shared" si="1"/>
        <v>0</v>
      </c>
      <c r="S13" s="86"/>
      <c r="T13" s="86"/>
      <c r="U13" s="86"/>
      <c r="V13" s="86"/>
      <c r="W13" s="66">
        <f t="shared" si="2"/>
        <v>0</v>
      </c>
      <c r="X13" s="96"/>
      <c r="Y13" s="68">
        <f t="shared" si="3"/>
        <v>0</v>
      </c>
      <c r="Z13" s="68">
        <f t="shared" si="4"/>
        <v>0</v>
      </c>
      <c r="AA13" s="72"/>
      <c r="AB13" s="68">
        <f t="shared" si="7"/>
        <v>0</v>
      </c>
      <c r="AC13" s="68">
        <f t="shared" si="8"/>
        <v>0</v>
      </c>
      <c r="AD13" s="68"/>
      <c r="AE13" s="55"/>
      <c r="AF13" s="69">
        <f t="shared" si="5"/>
        <v>0</v>
      </c>
      <c r="AG13" s="86"/>
      <c r="AH13" s="108"/>
      <c r="AI13" s="108"/>
      <c r="AJ13" s="108"/>
      <c r="AK13" s="70">
        <f t="shared" si="6"/>
        <v>0</v>
      </c>
      <c r="AL13" s="71"/>
      <c r="AM13" s="48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</row>
    <row r="14" spans="1:115" ht="15" customHeight="1" x14ac:dyDescent="0.3">
      <c r="A14" s="65"/>
      <c r="B14" s="109"/>
      <c r="C14" s="110"/>
      <c r="D14" s="110"/>
      <c r="E14" s="111"/>
      <c r="F14" s="88"/>
      <c r="G14" s="86"/>
      <c r="H14" s="86"/>
      <c r="I14" s="86"/>
      <c r="J14" s="86"/>
      <c r="K14" s="86"/>
      <c r="L14" s="86"/>
      <c r="M14" s="86"/>
      <c r="N14" s="86"/>
      <c r="O14" s="86"/>
      <c r="P14" s="86"/>
      <c r="Q14" s="67">
        <f t="shared" si="0"/>
        <v>0</v>
      </c>
      <c r="R14" s="67">
        <f t="shared" si="1"/>
        <v>0</v>
      </c>
      <c r="S14" s="86"/>
      <c r="T14" s="86"/>
      <c r="U14" s="86"/>
      <c r="V14" s="86"/>
      <c r="W14" s="66">
        <f t="shared" si="2"/>
        <v>0</v>
      </c>
      <c r="X14" s="97"/>
      <c r="Y14" s="68">
        <f t="shared" si="3"/>
        <v>0</v>
      </c>
      <c r="Z14" s="68">
        <f t="shared" si="4"/>
        <v>0</v>
      </c>
      <c r="AA14" s="72"/>
      <c r="AB14" s="68">
        <f t="shared" si="7"/>
        <v>0</v>
      </c>
      <c r="AC14" s="68">
        <f t="shared" si="8"/>
        <v>0</v>
      </c>
      <c r="AD14" s="68"/>
      <c r="AE14" s="55"/>
      <c r="AF14" s="69">
        <f t="shared" si="5"/>
        <v>0</v>
      </c>
      <c r="AG14" s="86"/>
      <c r="AH14" s="108"/>
      <c r="AI14" s="108"/>
      <c r="AJ14" s="108"/>
      <c r="AK14" s="70">
        <f t="shared" si="6"/>
        <v>0</v>
      </c>
      <c r="AL14" s="71"/>
      <c r="AM14" s="48"/>
      <c r="AN14" s="5"/>
      <c r="AO14" s="5"/>
      <c r="AP14" s="5"/>
      <c r="AQ14" s="5"/>
      <c r="AR14" s="7"/>
      <c r="AS14" s="7"/>
      <c r="AT14" s="7"/>
      <c r="AU14" s="7"/>
      <c r="AV14" s="7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</row>
    <row r="15" spans="1:115" ht="15" customHeight="1" x14ac:dyDescent="0.3">
      <c r="A15" s="65"/>
      <c r="B15" s="109"/>
      <c r="C15" s="110"/>
      <c r="D15" s="110"/>
      <c r="E15" s="111"/>
      <c r="F15" s="85"/>
      <c r="G15" s="86"/>
      <c r="H15" s="86"/>
      <c r="I15" s="86"/>
      <c r="J15" s="86"/>
      <c r="K15" s="86"/>
      <c r="L15" s="86"/>
      <c r="M15" s="86"/>
      <c r="N15" s="86"/>
      <c r="O15" s="86"/>
      <c r="P15" s="86"/>
      <c r="Q15" s="67">
        <f t="shared" si="0"/>
        <v>0</v>
      </c>
      <c r="R15" s="67">
        <f t="shared" si="1"/>
        <v>0</v>
      </c>
      <c r="S15" s="86"/>
      <c r="T15" s="86"/>
      <c r="U15" s="86"/>
      <c r="V15" s="86"/>
      <c r="W15" s="66">
        <f t="shared" si="2"/>
        <v>0</v>
      </c>
      <c r="X15" s="97"/>
      <c r="Y15" s="68">
        <f t="shared" si="3"/>
        <v>0</v>
      </c>
      <c r="Z15" s="68">
        <f t="shared" si="4"/>
        <v>0</v>
      </c>
      <c r="AA15" s="72"/>
      <c r="AB15" s="68">
        <f t="shared" si="7"/>
        <v>0</v>
      </c>
      <c r="AC15" s="68">
        <f t="shared" si="8"/>
        <v>0</v>
      </c>
      <c r="AD15" s="68"/>
      <c r="AE15" s="55"/>
      <c r="AF15" s="69">
        <f t="shared" si="5"/>
        <v>0</v>
      </c>
      <c r="AG15" s="86"/>
      <c r="AH15" s="108"/>
      <c r="AI15" s="108"/>
      <c r="AJ15" s="108"/>
      <c r="AK15" s="70">
        <f t="shared" si="6"/>
        <v>0</v>
      </c>
      <c r="AL15" s="71"/>
      <c r="AM15" s="48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</row>
    <row r="16" spans="1:115" s="74" customFormat="1" ht="15" customHeight="1" x14ac:dyDescent="0.3">
      <c r="A16" s="65"/>
      <c r="B16" s="109"/>
      <c r="C16" s="110"/>
      <c r="D16" s="110"/>
      <c r="E16" s="111"/>
      <c r="F16" s="93"/>
      <c r="G16" s="86"/>
      <c r="H16" s="86"/>
      <c r="I16" s="86"/>
      <c r="J16" s="86"/>
      <c r="K16" s="86"/>
      <c r="L16" s="86"/>
      <c r="M16" s="86"/>
      <c r="N16" s="86"/>
      <c r="O16" s="86"/>
      <c r="P16" s="87"/>
      <c r="Q16" s="67">
        <f t="shared" si="0"/>
        <v>0</v>
      </c>
      <c r="R16" s="67">
        <f t="shared" si="1"/>
        <v>0</v>
      </c>
      <c r="S16" s="86"/>
      <c r="T16" s="86"/>
      <c r="U16" s="86"/>
      <c r="V16" s="86"/>
      <c r="W16" s="66">
        <f t="shared" si="2"/>
        <v>0</v>
      </c>
      <c r="X16" s="99"/>
      <c r="Y16" s="68">
        <f t="shared" si="3"/>
        <v>0</v>
      </c>
      <c r="Z16" s="68">
        <f t="shared" si="4"/>
        <v>0</v>
      </c>
      <c r="AA16" s="72"/>
      <c r="AB16" s="68">
        <f t="shared" si="7"/>
        <v>0</v>
      </c>
      <c r="AC16" s="68">
        <f t="shared" si="8"/>
        <v>0</v>
      </c>
      <c r="AD16" s="68"/>
      <c r="AE16" s="55"/>
      <c r="AF16" s="69">
        <f t="shared" si="5"/>
        <v>0</v>
      </c>
      <c r="AG16" s="86"/>
      <c r="AH16" s="108"/>
      <c r="AI16" s="108"/>
      <c r="AJ16" s="108"/>
      <c r="AK16" s="70">
        <f t="shared" si="6"/>
        <v>0</v>
      </c>
      <c r="AL16" s="71"/>
      <c r="AM16" s="48"/>
      <c r="AN16" s="5"/>
      <c r="AO16" s="5"/>
      <c r="AP16" s="5"/>
      <c r="AQ16" s="5"/>
      <c r="AR16" s="7"/>
      <c r="AS16" s="7"/>
      <c r="AT16" s="7"/>
      <c r="AU16" s="7"/>
      <c r="AV16" s="7"/>
      <c r="AW16"/>
      <c r="AX16"/>
      <c r="AY16"/>
      <c r="AZ16"/>
      <c r="BA16"/>
      <c r="BB16"/>
      <c r="BC16"/>
      <c r="BD16"/>
      <c r="BE16"/>
      <c r="BF16"/>
      <c r="BG16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</row>
    <row r="17" spans="1:115" ht="15" customHeight="1" x14ac:dyDescent="0.3">
      <c r="A17" s="65"/>
      <c r="B17" s="109"/>
      <c r="C17" s="110"/>
      <c r="D17" s="110"/>
      <c r="E17" s="111"/>
      <c r="F17" s="85"/>
      <c r="G17" s="86"/>
      <c r="H17" s="86"/>
      <c r="I17" s="86"/>
      <c r="J17" s="86"/>
      <c r="K17" s="86"/>
      <c r="L17" s="86"/>
      <c r="M17" s="86"/>
      <c r="N17" s="86"/>
      <c r="O17" s="86"/>
      <c r="P17" s="87"/>
      <c r="Q17" s="67">
        <f t="shared" si="0"/>
        <v>0</v>
      </c>
      <c r="R17" s="67">
        <f t="shared" si="1"/>
        <v>0</v>
      </c>
      <c r="S17" s="86"/>
      <c r="T17" s="86"/>
      <c r="U17" s="86"/>
      <c r="V17" s="86"/>
      <c r="W17" s="66">
        <f>G17+I17+K17+M17+O17+R17+S17+T17+U17+V17</f>
        <v>0</v>
      </c>
      <c r="X17" s="100"/>
      <c r="Y17" s="68">
        <f t="shared" si="3"/>
        <v>0</v>
      </c>
      <c r="Z17" s="68">
        <f t="shared" si="4"/>
        <v>0</v>
      </c>
      <c r="AA17" s="72"/>
      <c r="AB17" s="68">
        <f t="shared" si="7"/>
        <v>0</v>
      </c>
      <c r="AC17" s="68">
        <f t="shared" si="8"/>
        <v>0</v>
      </c>
      <c r="AD17" s="68"/>
      <c r="AE17" s="55"/>
      <c r="AF17" s="69">
        <f t="shared" si="5"/>
        <v>0</v>
      </c>
      <c r="AG17" s="86"/>
      <c r="AH17" s="108"/>
      <c r="AI17" s="108"/>
      <c r="AJ17" s="108"/>
      <c r="AK17" s="70">
        <f t="shared" si="6"/>
        <v>0</v>
      </c>
      <c r="AL17" s="71"/>
      <c r="AM17" s="48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</row>
    <row r="18" spans="1:115" ht="15" customHeight="1" x14ac:dyDescent="0.3">
      <c r="A18" s="65"/>
      <c r="B18" s="109"/>
      <c r="C18" s="110"/>
      <c r="D18" s="110"/>
      <c r="E18" s="111"/>
      <c r="F18" s="88"/>
      <c r="G18" s="86"/>
      <c r="H18" s="86"/>
      <c r="I18" s="86"/>
      <c r="J18" s="86"/>
      <c r="K18" s="86"/>
      <c r="L18" s="86"/>
      <c r="M18" s="86"/>
      <c r="N18" s="86"/>
      <c r="O18" s="86"/>
      <c r="P18" s="89"/>
      <c r="Q18" s="67">
        <f t="shared" si="0"/>
        <v>0</v>
      </c>
      <c r="R18" s="67">
        <f t="shared" si="1"/>
        <v>0</v>
      </c>
      <c r="S18" s="86"/>
      <c r="T18" s="86"/>
      <c r="U18" s="86"/>
      <c r="V18" s="86"/>
      <c r="W18" s="66">
        <f t="shared" si="2"/>
        <v>0</v>
      </c>
      <c r="X18" s="96"/>
      <c r="Y18" s="68">
        <f t="shared" si="3"/>
        <v>0</v>
      </c>
      <c r="Z18" s="68">
        <f t="shared" si="4"/>
        <v>0</v>
      </c>
      <c r="AA18" s="72"/>
      <c r="AB18" s="68">
        <f t="shared" si="7"/>
        <v>0</v>
      </c>
      <c r="AC18" s="68">
        <f t="shared" si="8"/>
        <v>0</v>
      </c>
      <c r="AD18" s="68"/>
      <c r="AE18" s="55"/>
      <c r="AF18" s="69">
        <f t="shared" si="5"/>
        <v>0</v>
      </c>
      <c r="AG18" s="86"/>
      <c r="AH18" s="108"/>
      <c r="AI18" s="108"/>
      <c r="AJ18" s="108"/>
      <c r="AK18" s="70">
        <f t="shared" si="6"/>
        <v>0</v>
      </c>
      <c r="AL18" s="71"/>
      <c r="AM18" s="48"/>
      <c r="AN18" s="5"/>
      <c r="AO18" s="5"/>
      <c r="AP18" s="5"/>
      <c r="AQ18" s="5"/>
      <c r="AR18" s="7"/>
      <c r="AS18" s="7"/>
      <c r="AT18" s="7"/>
      <c r="AU18" s="7"/>
      <c r="AV18" s="7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</row>
    <row r="19" spans="1:115" ht="15" customHeight="1" x14ac:dyDescent="0.3">
      <c r="A19" s="65"/>
      <c r="B19" s="109"/>
      <c r="C19" s="110"/>
      <c r="D19" s="110"/>
      <c r="E19" s="111"/>
      <c r="F19" s="88" t="s">
        <v>51</v>
      </c>
      <c r="G19" s="86"/>
      <c r="H19" s="86"/>
      <c r="I19" s="86"/>
      <c r="J19" s="86"/>
      <c r="K19" s="86"/>
      <c r="L19" s="86"/>
      <c r="M19" s="86"/>
      <c r="N19" s="86"/>
      <c r="O19" s="86"/>
      <c r="P19" s="86"/>
      <c r="Q19" s="67">
        <f t="shared" si="0"/>
        <v>0</v>
      </c>
      <c r="R19" s="67">
        <f t="shared" si="1"/>
        <v>0</v>
      </c>
      <c r="S19" s="86"/>
      <c r="T19" s="86"/>
      <c r="U19" s="86"/>
      <c r="V19" s="86"/>
      <c r="W19" s="66">
        <f t="shared" si="2"/>
        <v>0</v>
      </c>
      <c r="X19" s="97"/>
      <c r="Y19" s="68">
        <f t="shared" si="3"/>
        <v>0</v>
      </c>
      <c r="Z19" s="68">
        <f t="shared" si="4"/>
        <v>0</v>
      </c>
      <c r="AA19" s="72"/>
      <c r="AB19" s="68">
        <f t="shared" si="7"/>
        <v>0</v>
      </c>
      <c r="AC19" s="68">
        <f t="shared" si="8"/>
        <v>0</v>
      </c>
      <c r="AD19" s="68"/>
      <c r="AE19" s="55"/>
      <c r="AF19" s="69">
        <f t="shared" si="5"/>
        <v>0</v>
      </c>
      <c r="AG19" s="86"/>
      <c r="AH19" s="108"/>
      <c r="AI19" s="108"/>
      <c r="AJ19" s="108"/>
      <c r="AK19" s="70">
        <f t="shared" si="6"/>
        <v>0</v>
      </c>
      <c r="AL19" s="71"/>
      <c r="AM19" s="48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</row>
    <row r="20" spans="1:115" ht="15" customHeight="1" x14ac:dyDescent="0.3">
      <c r="A20" s="65"/>
      <c r="B20" s="109"/>
      <c r="C20" s="110"/>
      <c r="D20" s="110"/>
      <c r="E20" s="111"/>
      <c r="F20" s="85"/>
      <c r="G20" s="86"/>
      <c r="H20" s="86"/>
      <c r="I20" s="86"/>
      <c r="J20" s="86"/>
      <c r="K20" s="86"/>
      <c r="L20" s="86"/>
      <c r="M20" s="86"/>
      <c r="N20" s="86"/>
      <c r="O20" s="86"/>
      <c r="P20" s="86"/>
      <c r="Q20" s="67">
        <f t="shared" si="0"/>
        <v>0</v>
      </c>
      <c r="R20" s="67">
        <f t="shared" si="1"/>
        <v>0</v>
      </c>
      <c r="S20" s="86"/>
      <c r="T20" s="86"/>
      <c r="U20" s="86"/>
      <c r="V20" s="86"/>
      <c r="W20" s="66">
        <f t="shared" si="2"/>
        <v>0</v>
      </c>
      <c r="X20" s="98"/>
      <c r="Y20" s="68">
        <f t="shared" si="3"/>
        <v>0</v>
      </c>
      <c r="Z20" s="68">
        <f t="shared" si="4"/>
        <v>0</v>
      </c>
      <c r="AA20" s="72"/>
      <c r="AB20" s="68">
        <f t="shared" si="7"/>
        <v>0</v>
      </c>
      <c r="AC20" s="68">
        <f t="shared" si="8"/>
        <v>0</v>
      </c>
      <c r="AD20" s="68"/>
      <c r="AE20" s="55"/>
      <c r="AF20" s="69">
        <f t="shared" si="5"/>
        <v>0</v>
      </c>
      <c r="AG20" s="86"/>
      <c r="AH20" s="108"/>
      <c r="AI20" s="108"/>
      <c r="AJ20" s="108"/>
      <c r="AK20" s="70">
        <f t="shared" si="6"/>
        <v>0</v>
      </c>
      <c r="AL20" s="71"/>
      <c r="AM20" s="48"/>
      <c r="AN20" s="5"/>
      <c r="AO20" s="5"/>
      <c r="AP20" s="5"/>
      <c r="AQ20" s="5"/>
      <c r="AR20" s="7"/>
      <c r="AS20" s="7"/>
      <c r="AT20" s="7"/>
      <c r="AU20" s="7"/>
      <c r="AV20" s="7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</row>
    <row r="21" spans="1:115" s="42" customFormat="1" ht="15" customHeight="1" x14ac:dyDescent="0.3">
      <c r="A21" s="65"/>
      <c r="B21" s="109"/>
      <c r="C21" s="110"/>
      <c r="D21" s="110"/>
      <c r="E21" s="111"/>
      <c r="F21" s="85"/>
      <c r="G21" s="86"/>
      <c r="H21" s="86"/>
      <c r="I21" s="86"/>
      <c r="J21" s="86"/>
      <c r="K21" s="86"/>
      <c r="L21" s="86"/>
      <c r="M21" s="86"/>
      <c r="N21" s="86"/>
      <c r="O21" s="86"/>
      <c r="P21" s="87"/>
      <c r="Q21" s="67">
        <f t="shared" si="0"/>
        <v>0</v>
      </c>
      <c r="R21" s="67">
        <f t="shared" si="1"/>
        <v>0</v>
      </c>
      <c r="S21" s="86"/>
      <c r="T21" s="86"/>
      <c r="U21" s="86"/>
      <c r="V21" s="86"/>
      <c r="W21" s="66">
        <f t="shared" si="2"/>
        <v>0</v>
      </c>
      <c r="X21" s="99"/>
      <c r="Y21" s="68">
        <f t="shared" si="3"/>
        <v>0</v>
      </c>
      <c r="Z21" s="68">
        <f t="shared" si="4"/>
        <v>0</v>
      </c>
      <c r="AA21" s="72"/>
      <c r="AB21" s="68">
        <f t="shared" si="7"/>
        <v>0</v>
      </c>
      <c r="AC21" s="68">
        <f t="shared" si="8"/>
        <v>0</v>
      </c>
      <c r="AD21" s="68"/>
      <c r="AE21" s="55"/>
      <c r="AF21" s="69">
        <f t="shared" si="5"/>
        <v>0</v>
      </c>
      <c r="AG21" s="86"/>
      <c r="AH21" s="108"/>
      <c r="AI21" s="108"/>
      <c r="AJ21" s="108"/>
      <c r="AK21" s="70">
        <f t="shared" si="6"/>
        <v>0</v>
      </c>
      <c r="AL21" s="71"/>
      <c r="AM21" s="48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</row>
    <row r="22" spans="1:115" ht="15" customHeight="1" x14ac:dyDescent="0.3">
      <c r="A22" s="65"/>
      <c r="B22" s="109"/>
      <c r="C22" s="110"/>
      <c r="D22" s="110"/>
      <c r="E22" s="111"/>
      <c r="F22" s="85"/>
      <c r="G22" s="86"/>
      <c r="H22" s="86"/>
      <c r="I22" s="86"/>
      <c r="J22" s="86"/>
      <c r="K22" s="86"/>
      <c r="L22" s="86"/>
      <c r="M22" s="86"/>
      <c r="N22" s="86"/>
      <c r="O22" s="86"/>
      <c r="P22" s="86"/>
      <c r="Q22" s="67">
        <f t="shared" si="0"/>
        <v>0</v>
      </c>
      <c r="R22" s="67">
        <f t="shared" si="1"/>
        <v>0</v>
      </c>
      <c r="S22" s="86"/>
      <c r="T22" s="86"/>
      <c r="U22" s="86"/>
      <c r="V22" s="86"/>
      <c r="W22" s="66">
        <f t="shared" si="2"/>
        <v>0</v>
      </c>
      <c r="X22" s="98"/>
      <c r="Y22" s="68">
        <f t="shared" si="3"/>
        <v>0</v>
      </c>
      <c r="Z22" s="68">
        <f t="shared" si="4"/>
        <v>0</v>
      </c>
      <c r="AA22" s="72"/>
      <c r="AB22" s="68">
        <f t="shared" si="7"/>
        <v>0</v>
      </c>
      <c r="AC22" s="68">
        <f t="shared" si="8"/>
        <v>0</v>
      </c>
      <c r="AD22" s="68"/>
      <c r="AE22" s="55"/>
      <c r="AF22" s="69">
        <f t="shared" si="5"/>
        <v>0</v>
      </c>
      <c r="AG22" s="86"/>
      <c r="AH22" s="108"/>
      <c r="AI22" s="108"/>
      <c r="AJ22" s="108"/>
      <c r="AK22" s="70">
        <f t="shared" si="6"/>
        <v>0</v>
      </c>
      <c r="AL22" s="71"/>
      <c r="AM22" s="48"/>
      <c r="AN22" s="5"/>
      <c r="AO22" s="5"/>
      <c r="AP22" s="5"/>
      <c r="AQ22" s="5"/>
      <c r="AR22" s="7"/>
      <c r="AS22" s="7"/>
      <c r="AT22" s="7"/>
      <c r="AU22" s="7"/>
      <c r="AV22" s="7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</row>
    <row r="23" spans="1:115" ht="15" customHeight="1" x14ac:dyDescent="0.3">
      <c r="A23" s="65"/>
      <c r="B23" s="109"/>
      <c r="C23" s="110"/>
      <c r="D23" s="110"/>
      <c r="E23" s="111"/>
      <c r="F23" s="85"/>
      <c r="G23" s="86"/>
      <c r="H23" s="86"/>
      <c r="I23" s="86"/>
      <c r="J23" s="86"/>
      <c r="K23" s="86"/>
      <c r="L23" s="86"/>
      <c r="M23" s="86"/>
      <c r="N23" s="86"/>
      <c r="O23" s="86"/>
      <c r="P23" s="86"/>
      <c r="Q23" s="67">
        <f t="shared" si="0"/>
        <v>0</v>
      </c>
      <c r="R23" s="67">
        <f t="shared" si="1"/>
        <v>0</v>
      </c>
      <c r="S23" s="86"/>
      <c r="T23" s="86"/>
      <c r="U23" s="86"/>
      <c r="V23" s="86"/>
      <c r="W23" s="66">
        <f t="shared" si="2"/>
        <v>0</v>
      </c>
      <c r="X23" s="98"/>
      <c r="Y23" s="68">
        <f t="shared" si="3"/>
        <v>0</v>
      </c>
      <c r="Z23" s="68">
        <f t="shared" si="4"/>
        <v>0</v>
      </c>
      <c r="AA23" s="72"/>
      <c r="AB23" s="68">
        <f t="shared" si="7"/>
        <v>0</v>
      </c>
      <c r="AC23" s="68">
        <f t="shared" si="8"/>
        <v>0</v>
      </c>
      <c r="AD23" s="68"/>
      <c r="AE23" s="55"/>
      <c r="AF23" s="69">
        <f t="shared" si="5"/>
        <v>0</v>
      </c>
      <c r="AG23" s="86"/>
      <c r="AH23" s="108"/>
      <c r="AI23" s="108"/>
      <c r="AJ23" s="108"/>
      <c r="AK23" s="70">
        <f t="shared" si="6"/>
        <v>0</v>
      </c>
      <c r="AL23" s="71"/>
      <c r="AM23" s="48"/>
      <c r="AN23" s="5"/>
      <c r="AO23" s="5"/>
      <c r="AP23" s="5"/>
      <c r="AQ23" s="5"/>
      <c r="AR23" s="7"/>
      <c r="AS23" s="7"/>
      <c r="AT23" s="7"/>
      <c r="AU23" s="7"/>
      <c r="AV23" s="7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</row>
    <row r="24" spans="1:115" ht="15" customHeight="1" x14ac:dyDescent="0.3">
      <c r="A24" s="65"/>
      <c r="B24" s="109"/>
      <c r="C24" s="110"/>
      <c r="D24" s="110"/>
      <c r="E24" s="111"/>
      <c r="F24" s="85"/>
      <c r="G24" s="86"/>
      <c r="H24" s="86"/>
      <c r="I24" s="86"/>
      <c r="J24" s="86"/>
      <c r="K24" s="86"/>
      <c r="L24" s="86"/>
      <c r="M24" s="86"/>
      <c r="N24" s="86"/>
      <c r="O24" s="86"/>
      <c r="P24" s="86"/>
      <c r="Q24" s="67">
        <f t="shared" si="0"/>
        <v>0</v>
      </c>
      <c r="R24" s="67">
        <f t="shared" si="1"/>
        <v>0</v>
      </c>
      <c r="S24" s="86"/>
      <c r="T24" s="86"/>
      <c r="U24" s="86"/>
      <c r="V24" s="86"/>
      <c r="W24" s="66">
        <f t="shared" si="2"/>
        <v>0</v>
      </c>
      <c r="X24" s="98"/>
      <c r="Y24" s="68">
        <f t="shared" si="3"/>
        <v>0</v>
      </c>
      <c r="Z24" s="68">
        <f t="shared" si="4"/>
        <v>0</v>
      </c>
      <c r="AA24" s="72"/>
      <c r="AB24" s="68">
        <f t="shared" si="7"/>
        <v>0</v>
      </c>
      <c r="AC24" s="68">
        <f t="shared" si="8"/>
        <v>0</v>
      </c>
      <c r="AD24" s="68"/>
      <c r="AE24" s="55"/>
      <c r="AF24" s="69">
        <f t="shared" si="5"/>
        <v>0</v>
      </c>
      <c r="AG24" s="86"/>
      <c r="AH24" s="108"/>
      <c r="AI24" s="108"/>
      <c r="AJ24" s="108"/>
      <c r="AK24" s="70">
        <f t="shared" si="6"/>
        <v>0</v>
      </c>
      <c r="AL24" s="71"/>
      <c r="AM24" s="48"/>
      <c r="AN24" s="5"/>
      <c r="AO24" s="5"/>
      <c r="AP24" s="5"/>
      <c r="AQ24" s="5"/>
      <c r="AR24" s="7"/>
      <c r="AS24" s="7"/>
      <c r="AT24" s="7"/>
      <c r="AU24" s="7"/>
      <c r="AV24" s="7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</row>
    <row r="25" spans="1:115" ht="15" customHeight="1" x14ac:dyDescent="0.3">
      <c r="A25" s="65"/>
      <c r="B25" s="109"/>
      <c r="C25" s="110"/>
      <c r="D25" s="110"/>
      <c r="E25" s="111"/>
      <c r="F25" s="85"/>
      <c r="G25" s="86"/>
      <c r="H25" s="86"/>
      <c r="I25" s="86"/>
      <c r="J25" s="86"/>
      <c r="K25" s="86"/>
      <c r="L25" s="86"/>
      <c r="M25" s="86"/>
      <c r="N25" s="86"/>
      <c r="O25" s="86"/>
      <c r="P25" s="86"/>
      <c r="Q25" s="67">
        <f t="shared" si="0"/>
        <v>0</v>
      </c>
      <c r="R25" s="67">
        <f t="shared" si="1"/>
        <v>0</v>
      </c>
      <c r="S25" s="86"/>
      <c r="T25" s="86"/>
      <c r="U25" s="86"/>
      <c r="V25" s="86"/>
      <c r="W25" s="66">
        <f t="shared" si="2"/>
        <v>0</v>
      </c>
      <c r="X25" s="98"/>
      <c r="Y25" s="68">
        <f t="shared" si="3"/>
        <v>0</v>
      </c>
      <c r="Z25" s="68">
        <f t="shared" si="4"/>
        <v>0</v>
      </c>
      <c r="AA25" s="72"/>
      <c r="AB25" s="68">
        <f t="shared" si="7"/>
        <v>0</v>
      </c>
      <c r="AC25" s="68">
        <f t="shared" si="8"/>
        <v>0</v>
      </c>
      <c r="AD25" s="68"/>
      <c r="AE25" s="55"/>
      <c r="AF25" s="69">
        <f t="shared" si="5"/>
        <v>0</v>
      </c>
      <c r="AG25" s="86"/>
      <c r="AH25" s="108"/>
      <c r="AI25" s="108"/>
      <c r="AJ25" s="108"/>
      <c r="AK25" s="70">
        <f t="shared" si="6"/>
        <v>0</v>
      </c>
      <c r="AL25" s="71"/>
      <c r="AM25" s="48"/>
      <c r="AN25" s="5"/>
      <c r="AO25" s="5"/>
      <c r="AP25" s="5"/>
      <c r="AQ25" s="5"/>
      <c r="AR25" s="7"/>
      <c r="AS25" s="7"/>
      <c r="AT25" s="7"/>
      <c r="AU25" s="7"/>
      <c r="AV25" s="7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</row>
    <row r="26" spans="1:115" ht="15" customHeight="1" x14ac:dyDescent="0.3">
      <c r="A26" s="65"/>
      <c r="B26" s="109"/>
      <c r="C26" s="110"/>
      <c r="D26" s="110"/>
      <c r="E26" s="111"/>
      <c r="F26" s="85"/>
      <c r="G26" s="86"/>
      <c r="H26" s="86"/>
      <c r="I26" s="86"/>
      <c r="J26" s="86"/>
      <c r="K26" s="86"/>
      <c r="L26" s="86"/>
      <c r="M26" s="86"/>
      <c r="N26" s="86"/>
      <c r="O26" s="86"/>
      <c r="P26" s="86"/>
      <c r="Q26" s="67">
        <f t="shared" si="0"/>
        <v>0</v>
      </c>
      <c r="R26" s="67">
        <f t="shared" si="1"/>
        <v>0</v>
      </c>
      <c r="S26" s="86"/>
      <c r="T26" s="86"/>
      <c r="U26" s="86"/>
      <c r="V26" s="86"/>
      <c r="W26" s="66">
        <f t="shared" si="2"/>
        <v>0</v>
      </c>
      <c r="X26" s="98"/>
      <c r="Y26" s="68">
        <f t="shared" si="3"/>
        <v>0</v>
      </c>
      <c r="Z26" s="68">
        <f t="shared" si="4"/>
        <v>0</v>
      </c>
      <c r="AA26" s="72"/>
      <c r="AB26" s="68">
        <f t="shared" si="7"/>
        <v>0</v>
      </c>
      <c r="AC26" s="68">
        <f t="shared" si="8"/>
        <v>0</v>
      </c>
      <c r="AD26" s="68"/>
      <c r="AE26" s="55"/>
      <c r="AF26" s="69">
        <f t="shared" si="5"/>
        <v>0</v>
      </c>
      <c r="AG26" s="86"/>
      <c r="AH26" s="108"/>
      <c r="AI26" s="108"/>
      <c r="AJ26" s="108"/>
      <c r="AK26" s="70">
        <f t="shared" si="6"/>
        <v>0</v>
      </c>
      <c r="AL26" s="71"/>
      <c r="AM26" s="48"/>
      <c r="AN26" s="5"/>
      <c r="AO26" s="5"/>
      <c r="AP26" s="5"/>
      <c r="AQ26" s="5"/>
      <c r="AR26" s="7"/>
      <c r="AS26" s="7"/>
      <c r="AT26" s="7"/>
      <c r="AU26" s="7"/>
      <c r="AV26" s="7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</row>
    <row r="27" spans="1:115" ht="15" customHeight="1" x14ac:dyDescent="0.3">
      <c r="A27" s="65"/>
      <c r="B27" s="109"/>
      <c r="C27" s="110"/>
      <c r="D27" s="110"/>
      <c r="E27" s="111"/>
      <c r="F27" s="85"/>
      <c r="G27" s="86"/>
      <c r="H27" s="86"/>
      <c r="I27" s="86"/>
      <c r="J27" s="86"/>
      <c r="K27" s="86"/>
      <c r="L27" s="86"/>
      <c r="M27" s="86"/>
      <c r="N27" s="86"/>
      <c r="O27" s="86"/>
      <c r="P27" s="86"/>
      <c r="Q27" s="67">
        <f t="shared" si="0"/>
        <v>0</v>
      </c>
      <c r="R27" s="67">
        <f t="shared" si="1"/>
        <v>0</v>
      </c>
      <c r="S27" s="86"/>
      <c r="T27" s="86"/>
      <c r="U27" s="86"/>
      <c r="V27" s="86"/>
      <c r="W27" s="66">
        <f t="shared" si="2"/>
        <v>0</v>
      </c>
      <c r="X27" s="98"/>
      <c r="Y27" s="68">
        <f t="shared" si="3"/>
        <v>0</v>
      </c>
      <c r="Z27" s="68">
        <f t="shared" si="4"/>
        <v>0</v>
      </c>
      <c r="AA27" s="72"/>
      <c r="AB27" s="68">
        <f t="shared" si="7"/>
        <v>0</v>
      </c>
      <c r="AC27" s="68">
        <f t="shared" si="8"/>
        <v>0</v>
      </c>
      <c r="AD27" s="68"/>
      <c r="AE27" s="55"/>
      <c r="AF27" s="69">
        <f t="shared" si="5"/>
        <v>0</v>
      </c>
      <c r="AG27" s="86"/>
      <c r="AH27" s="108"/>
      <c r="AI27" s="108"/>
      <c r="AJ27" s="108"/>
      <c r="AK27" s="70">
        <f t="shared" si="6"/>
        <v>0</v>
      </c>
      <c r="AL27" s="71"/>
      <c r="AM27" s="48"/>
      <c r="AN27" s="5"/>
      <c r="AO27" s="5"/>
      <c r="AP27" s="5"/>
      <c r="AQ27" s="5"/>
      <c r="AR27" s="7"/>
      <c r="AS27" s="7"/>
      <c r="AT27" s="7"/>
      <c r="AU27" s="7"/>
      <c r="AV27" s="7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</row>
    <row r="28" spans="1:115" ht="15" customHeight="1" x14ac:dyDescent="0.3">
      <c r="A28" s="65"/>
      <c r="B28" s="109"/>
      <c r="C28" s="110"/>
      <c r="D28" s="110"/>
      <c r="E28" s="111"/>
      <c r="F28" s="85"/>
      <c r="G28" s="86"/>
      <c r="H28" s="86"/>
      <c r="I28" s="86"/>
      <c r="J28" s="86"/>
      <c r="K28" s="86"/>
      <c r="L28" s="86"/>
      <c r="M28" s="86"/>
      <c r="N28" s="86"/>
      <c r="O28" s="86"/>
      <c r="P28" s="86"/>
      <c r="Q28" s="67">
        <f t="shared" si="0"/>
        <v>0</v>
      </c>
      <c r="R28" s="67">
        <f t="shared" si="1"/>
        <v>0</v>
      </c>
      <c r="S28" s="86"/>
      <c r="T28" s="86"/>
      <c r="U28" s="86"/>
      <c r="V28" s="86"/>
      <c r="W28" s="66">
        <f t="shared" si="2"/>
        <v>0</v>
      </c>
      <c r="X28" s="98"/>
      <c r="Y28" s="68">
        <f t="shared" si="3"/>
        <v>0</v>
      </c>
      <c r="Z28" s="68">
        <f t="shared" si="4"/>
        <v>0</v>
      </c>
      <c r="AA28" s="72"/>
      <c r="AB28" s="68">
        <f t="shared" si="7"/>
        <v>0</v>
      </c>
      <c r="AC28" s="68">
        <f t="shared" si="8"/>
        <v>0</v>
      </c>
      <c r="AD28" s="68"/>
      <c r="AE28" s="55"/>
      <c r="AF28" s="69">
        <f t="shared" si="5"/>
        <v>0</v>
      </c>
      <c r="AG28" s="86"/>
      <c r="AH28" s="108"/>
      <c r="AI28" s="108"/>
      <c r="AJ28" s="108"/>
      <c r="AK28" s="70">
        <f t="shared" si="6"/>
        <v>0</v>
      </c>
      <c r="AL28" s="71"/>
      <c r="AM28" s="48"/>
      <c r="AN28" s="5"/>
      <c r="AO28" s="5"/>
      <c r="AP28" s="5"/>
      <c r="AQ28" s="5"/>
      <c r="AR28" s="7"/>
      <c r="AS28" s="7"/>
      <c r="AT28" s="7"/>
      <c r="AU28" s="7"/>
      <c r="AV28" s="7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</row>
    <row r="29" spans="1:115" ht="15" customHeight="1" x14ac:dyDescent="0.3">
      <c r="A29" s="65"/>
      <c r="B29" s="109"/>
      <c r="C29" s="110"/>
      <c r="D29" s="110"/>
      <c r="E29" s="111"/>
      <c r="F29" s="85"/>
      <c r="G29" s="86"/>
      <c r="H29" s="86"/>
      <c r="I29" s="86"/>
      <c r="J29" s="86"/>
      <c r="K29" s="86"/>
      <c r="L29" s="86"/>
      <c r="M29" s="86"/>
      <c r="N29" s="86"/>
      <c r="O29" s="86"/>
      <c r="P29" s="86"/>
      <c r="Q29" s="67">
        <f t="shared" si="0"/>
        <v>0</v>
      </c>
      <c r="R29" s="67">
        <f t="shared" si="1"/>
        <v>0</v>
      </c>
      <c r="S29" s="86"/>
      <c r="T29" s="86"/>
      <c r="U29" s="86"/>
      <c r="V29" s="86"/>
      <c r="W29" s="66">
        <f t="shared" si="2"/>
        <v>0</v>
      </c>
      <c r="X29" s="98"/>
      <c r="Y29" s="68">
        <f t="shared" si="3"/>
        <v>0</v>
      </c>
      <c r="Z29" s="68">
        <f t="shared" si="4"/>
        <v>0</v>
      </c>
      <c r="AA29" s="72"/>
      <c r="AB29" s="68">
        <f t="shared" si="7"/>
        <v>0</v>
      </c>
      <c r="AC29" s="68">
        <f t="shared" si="8"/>
        <v>0</v>
      </c>
      <c r="AD29" s="68"/>
      <c r="AE29" s="55"/>
      <c r="AF29" s="69">
        <f t="shared" si="5"/>
        <v>0</v>
      </c>
      <c r="AG29" s="86"/>
      <c r="AH29" s="108"/>
      <c r="AI29" s="108"/>
      <c r="AJ29" s="108"/>
      <c r="AK29" s="70">
        <f t="shared" si="6"/>
        <v>0</v>
      </c>
      <c r="AL29" s="71"/>
      <c r="AM29" s="48"/>
      <c r="AN29" s="5"/>
      <c r="AO29" s="5"/>
      <c r="AP29" s="5"/>
      <c r="AQ29" s="5"/>
      <c r="AR29" s="7"/>
      <c r="AS29" s="7"/>
      <c r="AT29" s="7"/>
      <c r="AU29" s="7"/>
      <c r="AV29" s="7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</row>
    <row r="30" spans="1:115" ht="15" customHeight="1" x14ac:dyDescent="0.3">
      <c r="A30" s="65"/>
      <c r="B30" s="109"/>
      <c r="C30" s="110"/>
      <c r="D30" s="110"/>
      <c r="E30" s="111"/>
      <c r="F30" s="85"/>
      <c r="G30" s="86"/>
      <c r="H30" s="86"/>
      <c r="I30" s="86"/>
      <c r="J30" s="86"/>
      <c r="K30" s="86"/>
      <c r="L30" s="86"/>
      <c r="M30" s="86"/>
      <c r="N30" s="86"/>
      <c r="O30" s="86"/>
      <c r="P30" s="86"/>
      <c r="Q30" s="67">
        <f t="shared" si="0"/>
        <v>0</v>
      </c>
      <c r="R30" s="67">
        <f t="shared" si="1"/>
        <v>0</v>
      </c>
      <c r="S30" s="86"/>
      <c r="T30" s="86"/>
      <c r="U30" s="86"/>
      <c r="V30" s="86"/>
      <c r="W30" s="66">
        <f t="shared" si="2"/>
        <v>0</v>
      </c>
      <c r="X30" s="98"/>
      <c r="Y30" s="68">
        <f t="shared" si="3"/>
        <v>0</v>
      </c>
      <c r="Z30" s="68">
        <f t="shared" si="4"/>
        <v>0</v>
      </c>
      <c r="AA30" s="72"/>
      <c r="AB30" s="68">
        <f t="shared" si="7"/>
        <v>0</v>
      </c>
      <c r="AC30" s="68">
        <f t="shared" si="8"/>
        <v>0</v>
      </c>
      <c r="AD30" s="68"/>
      <c r="AE30" s="55"/>
      <c r="AF30" s="69">
        <f t="shared" si="5"/>
        <v>0</v>
      </c>
      <c r="AG30" s="86"/>
      <c r="AH30" s="108"/>
      <c r="AI30" s="108"/>
      <c r="AJ30" s="108"/>
      <c r="AK30" s="70">
        <f t="shared" si="6"/>
        <v>0</v>
      </c>
      <c r="AL30" s="71"/>
      <c r="AM30" s="48"/>
      <c r="AN30" s="5"/>
      <c r="AO30" s="5"/>
      <c r="AP30" s="5"/>
      <c r="AQ30" s="5"/>
      <c r="AR30" s="7"/>
      <c r="AS30" s="7"/>
      <c r="AT30" s="7"/>
      <c r="AU30" s="7"/>
      <c r="AV30" s="7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</row>
    <row r="31" spans="1:115" ht="15" customHeight="1" x14ac:dyDescent="0.3">
      <c r="A31" s="65"/>
      <c r="B31" s="109"/>
      <c r="C31" s="110"/>
      <c r="D31" s="110"/>
      <c r="E31" s="111"/>
      <c r="F31" s="85"/>
      <c r="G31" s="86"/>
      <c r="H31" s="86"/>
      <c r="I31" s="86"/>
      <c r="J31" s="86"/>
      <c r="K31" s="86"/>
      <c r="L31" s="86"/>
      <c r="M31" s="86"/>
      <c r="N31" s="86"/>
      <c r="O31" s="86"/>
      <c r="P31" s="86"/>
      <c r="Q31" s="67">
        <f t="shared" si="0"/>
        <v>0</v>
      </c>
      <c r="R31" s="67">
        <f t="shared" si="1"/>
        <v>0</v>
      </c>
      <c r="S31" s="86"/>
      <c r="T31" s="86"/>
      <c r="U31" s="86"/>
      <c r="V31" s="86"/>
      <c r="W31" s="66">
        <f t="shared" si="2"/>
        <v>0</v>
      </c>
      <c r="X31" s="98"/>
      <c r="Y31" s="68">
        <f t="shared" si="3"/>
        <v>0</v>
      </c>
      <c r="Z31" s="68">
        <f t="shared" si="4"/>
        <v>0</v>
      </c>
      <c r="AA31" s="72"/>
      <c r="AB31" s="68">
        <f t="shared" si="7"/>
        <v>0</v>
      </c>
      <c r="AC31" s="68">
        <f t="shared" si="8"/>
        <v>0</v>
      </c>
      <c r="AD31" s="68"/>
      <c r="AE31" s="55"/>
      <c r="AF31" s="69">
        <f t="shared" si="5"/>
        <v>0</v>
      </c>
      <c r="AG31" s="86"/>
      <c r="AH31" s="108"/>
      <c r="AI31" s="108"/>
      <c r="AJ31" s="108"/>
      <c r="AK31" s="70">
        <f t="shared" si="6"/>
        <v>0</v>
      </c>
      <c r="AL31" s="71"/>
      <c r="AM31" s="48"/>
      <c r="AN31" s="5"/>
      <c r="AO31" s="5"/>
      <c r="AP31" s="5"/>
      <c r="AQ31" s="5"/>
      <c r="AR31" s="7"/>
      <c r="AS31" s="7"/>
      <c r="AT31" s="7"/>
      <c r="AU31" s="7"/>
      <c r="AV31" s="7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</row>
    <row r="32" spans="1:115" ht="15" customHeight="1" x14ac:dyDescent="0.3">
      <c r="A32" s="65"/>
      <c r="B32" s="109"/>
      <c r="C32" s="110"/>
      <c r="D32" s="110"/>
      <c r="E32" s="111"/>
      <c r="F32" s="85"/>
      <c r="G32" s="86"/>
      <c r="H32" s="86"/>
      <c r="I32" s="86"/>
      <c r="J32" s="86"/>
      <c r="K32" s="86"/>
      <c r="L32" s="86"/>
      <c r="M32" s="86"/>
      <c r="N32" s="86"/>
      <c r="O32" s="86"/>
      <c r="P32" s="86"/>
      <c r="Q32" s="67">
        <f t="shared" si="0"/>
        <v>0</v>
      </c>
      <c r="R32" s="67">
        <f t="shared" si="1"/>
        <v>0</v>
      </c>
      <c r="S32" s="86"/>
      <c r="T32" s="86"/>
      <c r="U32" s="86"/>
      <c r="V32" s="86"/>
      <c r="W32" s="66">
        <f t="shared" si="2"/>
        <v>0</v>
      </c>
      <c r="X32" s="98"/>
      <c r="Y32" s="68">
        <f t="shared" si="3"/>
        <v>0</v>
      </c>
      <c r="Z32" s="68">
        <f t="shared" si="4"/>
        <v>0</v>
      </c>
      <c r="AA32" s="72"/>
      <c r="AB32" s="68">
        <f t="shared" si="7"/>
        <v>0</v>
      </c>
      <c r="AC32" s="68">
        <f t="shared" si="8"/>
        <v>0</v>
      </c>
      <c r="AD32" s="68"/>
      <c r="AE32" s="55"/>
      <c r="AF32" s="69">
        <f t="shared" si="5"/>
        <v>0</v>
      </c>
      <c r="AG32" s="86"/>
      <c r="AH32" s="108"/>
      <c r="AI32" s="108"/>
      <c r="AJ32" s="108"/>
      <c r="AK32" s="70">
        <f t="shared" si="6"/>
        <v>0</v>
      </c>
      <c r="AL32" s="71"/>
      <c r="AM32" s="48"/>
      <c r="AN32" s="5"/>
      <c r="AO32" s="5"/>
      <c r="AP32" s="5"/>
      <c r="AQ32" s="5"/>
      <c r="AR32" s="7"/>
      <c r="AS32" s="7"/>
      <c r="AT32" s="7"/>
      <c r="AU32" s="7"/>
      <c r="AV32" s="7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</row>
    <row r="33" spans="1:115" ht="15" customHeight="1" x14ac:dyDescent="0.3">
      <c r="A33" s="65"/>
      <c r="B33" s="109"/>
      <c r="C33" s="110"/>
      <c r="D33" s="110"/>
      <c r="E33" s="111"/>
      <c r="F33" s="85"/>
      <c r="G33" s="86"/>
      <c r="H33" s="86"/>
      <c r="I33" s="86"/>
      <c r="J33" s="86"/>
      <c r="K33" s="86"/>
      <c r="L33" s="86"/>
      <c r="M33" s="86"/>
      <c r="N33" s="86"/>
      <c r="O33" s="86"/>
      <c r="P33" s="86"/>
      <c r="Q33" s="67">
        <f t="shared" si="0"/>
        <v>0</v>
      </c>
      <c r="R33" s="67">
        <f t="shared" si="1"/>
        <v>0</v>
      </c>
      <c r="S33" s="86"/>
      <c r="T33" s="86"/>
      <c r="U33" s="86"/>
      <c r="V33" s="86"/>
      <c r="W33" s="66">
        <f t="shared" si="2"/>
        <v>0</v>
      </c>
      <c r="X33" s="98"/>
      <c r="Y33" s="68">
        <f t="shared" si="3"/>
        <v>0</v>
      </c>
      <c r="Z33" s="68">
        <f t="shared" si="4"/>
        <v>0</v>
      </c>
      <c r="AA33" s="72"/>
      <c r="AB33" s="68">
        <f t="shared" si="7"/>
        <v>0</v>
      </c>
      <c r="AC33" s="68">
        <f t="shared" si="8"/>
        <v>0</v>
      </c>
      <c r="AD33" s="68"/>
      <c r="AE33" s="55"/>
      <c r="AF33" s="69">
        <f t="shared" si="5"/>
        <v>0</v>
      </c>
      <c r="AG33" s="86"/>
      <c r="AH33" s="108"/>
      <c r="AI33" s="108"/>
      <c r="AJ33" s="108"/>
      <c r="AK33" s="70">
        <f t="shared" si="6"/>
        <v>0</v>
      </c>
      <c r="AL33" s="71"/>
      <c r="AM33" s="48"/>
      <c r="AN33" s="5"/>
      <c r="AO33" s="5"/>
      <c r="AP33" s="5"/>
      <c r="AQ33" s="5"/>
      <c r="AR33" s="7"/>
      <c r="AS33" s="7"/>
      <c r="AT33" s="7"/>
      <c r="AU33" s="7"/>
      <c r="AV33" s="7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</row>
    <row r="34" spans="1:115" ht="15" customHeight="1" x14ac:dyDescent="0.3">
      <c r="A34" s="65"/>
      <c r="B34" s="109"/>
      <c r="C34" s="110"/>
      <c r="D34" s="110"/>
      <c r="E34" s="111"/>
      <c r="F34" s="85"/>
      <c r="G34" s="86"/>
      <c r="H34" s="86"/>
      <c r="I34" s="86"/>
      <c r="J34" s="86"/>
      <c r="K34" s="86"/>
      <c r="L34" s="86"/>
      <c r="M34" s="86"/>
      <c r="N34" s="86"/>
      <c r="O34" s="86"/>
      <c r="P34" s="86"/>
      <c r="Q34" s="67">
        <f t="shared" si="0"/>
        <v>0</v>
      </c>
      <c r="R34" s="67">
        <f t="shared" si="1"/>
        <v>0</v>
      </c>
      <c r="S34" s="86"/>
      <c r="T34" s="86"/>
      <c r="U34" s="86"/>
      <c r="V34" s="86"/>
      <c r="W34" s="66">
        <f t="shared" si="2"/>
        <v>0</v>
      </c>
      <c r="X34" s="98"/>
      <c r="Y34" s="68">
        <f t="shared" si="3"/>
        <v>0</v>
      </c>
      <c r="Z34" s="68">
        <f t="shared" si="4"/>
        <v>0</v>
      </c>
      <c r="AA34" s="72"/>
      <c r="AB34" s="68">
        <f t="shared" si="7"/>
        <v>0</v>
      </c>
      <c r="AC34" s="68">
        <f t="shared" si="8"/>
        <v>0</v>
      </c>
      <c r="AD34" s="68"/>
      <c r="AE34" s="55"/>
      <c r="AF34" s="69">
        <f t="shared" si="5"/>
        <v>0</v>
      </c>
      <c r="AG34" s="86"/>
      <c r="AH34" s="108"/>
      <c r="AI34" s="108"/>
      <c r="AJ34" s="108"/>
      <c r="AK34" s="70">
        <f t="shared" si="6"/>
        <v>0</v>
      </c>
      <c r="AL34" s="71"/>
      <c r="AM34" s="48"/>
      <c r="AN34" s="5"/>
      <c r="AO34" s="5"/>
      <c r="AP34" s="5"/>
      <c r="AQ34" s="5"/>
      <c r="AR34" s="7"/>
      <c r="AS34" s="7"/>
      <c r="AT34" s="7"/>
      <c r="AU34" s="7"/>
      <c r="AV34" s="7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</row>
    <row r="35" spans="1:115" ht="15" customHeight="1" x14ac:dyDescent="0.3">
      <c r="A35" s="65"/>
      <c r="B35" s="109"/>
      <c r="C35" s="110"/>
      <c r="D35" s="110"/>
      <c r="E35" s="111"/>
      <c r="F35" s="85"/>
      <c r="G35" s="86"/>
      <c r="H35" s="86"/>
      <c r="I35" s="86"/>
      <c r="J35" s="86"/>
      <c r="K35" s="86"/>
      <c r="L35" s="86"/>
      <c r="M35" s="86"/>
      <c r="N35" s="86"/>
      <c r="O35" s="86"/>
      <c r="P35" s="86"/>
      <c r="Q35" s="67">
        <f t="shared" si="0"/>
        <v>0</v>
      </c>
      <c r="R35" s="67">
        <f t="shared" si="1"/>
        <v>0</v>
      </c>
      <c r="S35" s="86"/>
      <c r="T35" s="86"/>
      <c r="U35" s="86"/>
      <c r="V35" s="86"/>
      <c r="W35" s="66">
        <f t="shared" si="2"/>
        <v>0</v>
      </c>
      <c r="X35" s="98"/>
      <c r="Y35" s="68">
        <f t="shared" si="3"/>
        <v>0</v>
      </c>
      <c r="Z35" s="68">
        <f t="shared" si="4"/>
        <v>0</v>
      </c>
      <c r="AA35" s="72"/>
      <c r="AB35" s="68">
        <f t="shared" si="7"/>
        <v>0</v>
      </c>
      <c r="AC35" s="68">
        <f t="shared" si="8"/>
        <v>0</v>
      </c>
      <c r="AD35" s="68"/>
      <c r="AE35" s="55"/>
      <c r="AF35" s="69">
        <f t="shared" si="5"/>
        <v>0</v>
      </c>
      <c r="AG35" s="86"/>
      <c r="AH35" s="108"/>
      <c r="AI35" s="108"/>
      <c r="AJ35" s="108"/>
      <c r="AK35" s="70">
        <f t="shared" si="6"/>
        <v>0</v>
      </c>
      <c r="AL35" s="71"/>
      <c r="AM35" s="48"/>
      <c r="AN35" s="5"/>
      <c r="AO35" s="5"/>
      <c r="AP35" s="5"/>
      <c r="AQ35" s="5"/>
      <c r="AR35" s="7"/>
      <c r="AS35" s="7"/>
      <c r="AT35" s="7"/>
      <c r="AU35" s="7"/>
      <c r="AV35" s="7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</row>
    <row r="36" spans="1:115" ht="15" customHeight="1" x14ac:dyDescent="0.3">
      <c r="A36" s="65"/>
      <c r="B36" s="109"/>
      <c r="C36" s="110"/>
      <c r="D36" s="110"/>
      <c r="E36" s="111"/>
      <c r="F36" s="85"/>
      <c r="G36" s="86"/>
      <c r="H36" s="86"/>
      <c r="I36" s="86"/>
      <c r="J36" s="86"/>
      <c r="K36" s="86"/>
      <c r="L36" s="86"/>
      <c r="M36" s="86"/>
      <c r="N36" s="86"/>
      <c r="O36" s="86"/>
      <c r="P36" s="86"/>
      <c r="Q36" s="67">
        <f t="shared" si="0"/>
        <v>0</v>
      </c>
      <c r="R36" s="67">
        <f t="shared" si="1"/>
        <v>0</v>
      </c>
      <c r="S36" s="86"/>
      <c r="T36" s="86"/>
      <c r="U36" s="86"/>
      <c r="V36" s="86"/>
      <c r="W36" s="66">
        <f t="shared" si="2"/>
        <v>0</v>
      </c>
      <c r="X36" s="98"/>
      <c r="Y36" s="68">
        <f t="shared" si="3"/>
        <v>0</v>
      </c>
      <c r="Z36" s="68">
        <f t="shared" si="4"/>
        <v>0</v>
      </c>
      <c r="AA36" s="72"/>
      <c r="AB36" s="68">
        <f t="shared" si="7"/>
        <v>0</v>
      </c>
      <c r="AC36" s="68">
        <f t="shared" si="8"/>
        <v>0</v>
      </c>
      <c r="AD36" s="68"/>
      <c r="AE36" s="55"/>
      <c r="AF36" s="69">
        <f t="shared" si="5"/>
        <v>0</v>
      </c>
      <c r="AG36" s="86"/>
      <c r="AH36" s="108"/>
      <c r="AI36" s="108"/>
      <c r="AJ36" s="108"/>
      <c r="AK36" s="70">
        <f t="shared" si="6"/>
        <v>0</v>
      </c>
      <c r="AL36" s="71"/>
      <c r="AM36" s="48"/>
      <c r="AN36" s="5"/>
      <c r="AO36" s="5"/>
      <c r="AP36" s="5"/>
      <c r="AQ36" s="5"/>
      <c r="AR36" s="7"/>
      <c r="AS36" s="7"/>
      <c r="AT36" s="7"/>
      <c r="AU36" s="7"/>
      <c r="AV36" s="7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</row>
    <row r="37" spans="1:115" ht="15" customHeight="1" x14ac:dyDescent="0.3">
      <c r="A37" s="65"/>
      <c r="B37" s="109"/>
      <c r="C37" s="110"/>
      <c r="D37" s="110"/>
      <c r="E37" s="111"/>
      <c r="F37" s="85"/>
      <c r="G37" s="86"/>
      <c r="H37" s="86"/>
      <c r="I37" s="86"/>
      <c r="J37" s="86"/>
      <c r="K37" s="86"/>
      <c r="L37" s="86"/>
      <c r="M37" s="86"/>
      <c r="N37" s="86"/>
      <c r="O37" s="86"/>
      <c r="P37" s="86"/>
      <c r="Q37" s="67">
        <f t="shared" si="0"/>
        <v>0</v>
      </c>
      <c r="R37" s="67">
        <f t="shared" si="1"/>
        <v>0</v>
      </c>
      <c r="S37" s="86"/>
      <c r="T37" s="86"/>
      <c r="U37" s="86"/>
      <c r="V37" s="86"/>
      <c r="W37" s="66">
        <f t="shared" si="2"/>
        <v>0</v>
      </c>
      <c r="X37" s="98"/>
      <c r="Y37" s="68">
        <f t="shared" si="3"/>
        <v>0</v>
      </c>
      <c r="Z37" s="68">
        <f t="shared" si="4"/>
        <v>0</v>
      </c>
      <c r="AA37" s="72"/>
      <c r="AB37" s="68">
        <f t="shared" si="7"/>
        <v>0</v>
      </c>
      <c r="AC37" s="68">
        <f t="shared" si="8"/>
        <v>0</v>
      </c>
      <c r="AD37" s="68"/>
      <c r="AE37" s="55"/>
      <c r="AF37" s="69">
        <f t="shared" si="5"/>
        <v>0</v>
      </c>
      <c r="AG37" s="86"/>
      <c r="AH37" s="108"/>
      <c r="AI37" s="108"/>
      <c r="AJ37" s="108"/>
      <c r="AK37" s="70">
        <f t="shared" si="6"/>
        <v>0</v>
      </c>
      <c r="AL37" s="71"/>
      <c r="AM37" s="48"/>
      <c r="AN37" s="5"/>
      <c r="AO37" s="5"/>
      <c r="AP37" s="5"/>
      <c r="AQ37" s="5"/>
      <c r="AR37" s="7"/>
      <c r="AS37" s="7"/>
      <c r="AT37" s="7"/>
      <c r="AU37" s="7"/>
      <c r="AV37" s="7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</row>
    <row r="38" spans="1:115" ht="15" customHeight="1" x14ac:dyDescent="0.3">
      <c r="A38" s="65"/>
      <c r="B38" s="109"/>
      <c r="C38" s="110"/>
      <c r="D38" s="110"/>
      <c r="E38" s="111"/>
      <c r="F38" s="85"/>
      <c r="G38" s="86"/>
      <c r="H38" s="86"/>
      <c r="I38" s="86"/>
      <c r="J38" s="86"/>
      <c r="K38" s="86"/>
      <c r="L38" s="86"/>
      <c r="M38" s="86"/>
      <c r="N38" s="86"/>
      <c r="O38" s="86"/>
      <c r="P38" s="86"/>
      <c r="Q38" s="67">
        <f t="shared" si="0"/>
        <v>0</v>
      </c>
      <c r="R38" s="67">
        <f t="shared" si="1"/>
        <v>0</v>
      </c>
      <c r="S38" s="86"/>
      <c r="T38" s="86"/>
      <c r="U38" s="86"/>
      <c r="V38" s="86"/>
      <c r="W38" s="66">
        <f t="shared" si="2"/>
        <v>0</v>
      </c>
      <c r="X38" s="98"/>
      <c r="Y38" s="68">
        <f t="shared" si="3"/>
        <v>0</v>
      </c>
      <c r="Z38" s="68">
        <f t="shared" si="4"/>
        <v>0</v>
      </c>
      <c r="AA38" s="72"/>
      <c r="AB38" s="68">
        <f t="shared" si="7"/>
        <v>0</v>
      </c>
      <c r="AC38" s="68">
        <f t="shared" si="8"/>
        <v>0</v>
      </c>
      <c r="AD38" s="68"/>
      <c r="AE38" s="55"/>
      <c r="AF38" s="69">
        <f t="shared" si="5"/>
        <v>0</v>
      </c>
      <c r="AG38" s="86"/>
      <c r="AH38" s="108"/>
      <c r="AI38" s="108"/>
      <c r="AJ38" s="108"/>
      <c r="AK38" s="70">
        <f t="shared" si="6"/>
        <v>0</v>
      </c>
      <c r="AL38" s="71"/>
      <c r="AM38" s="48"/>
      <c r="AN38" s="5"/>
      <c r="AO38" s="5"/>
      <c r="AP38" s="5"/>
      <c r="AQ38" s="5"/>
      <c r="AR38" s="7"/>
      <c r="AS38" s="7"/>
      <c r="AT38" s="7"/>
      <c r="AU38" s="7"/>
      <c r="AV38" s="7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</row>
    <row r="39" spans="1:115" ht="15" customHeight="1" x14ac:dyDescent="0.3">
      <c r="A39" s="65"/>
      <c r="B39" s="109"/>
      <c r="C39" s="110"/>
      <c r="D39" s="110"/>
      <c r="E39" s="111"/>
      <c r="F39" s="85"/>
      <c r="G39" s="86"/>
      <c r="H39" s="86"/>
      <c r="I39" s="86"/>
      <c r="J39" s="86"/>
      <c r="K39" s="86"/>
      <c r="L39" s="86"/>
      <c r="M39" s="86"/>
      <c r="N39" s="86"/>
      <c r="O39" s="86"/>
      <c r="P39" s="86"/>
      <c r="Q39" s="67">
        <f t="shared" si="0"/>
        <v>0</v>
      </c>
      <c r="R39" s="67">
        <f t="shared" si="1"/>
        <v>0</v>
      </c>
      <c r="S39" s="86"/>
      <c r="T39" s="86"/>
      <c r="U39" s="86"/>
      <c r="V39" s="86"/>
      <c r="W39" s="66">
        <f t="shared" si="2"/>
        <v>0</v>
      </c>
      <c r="X39" s="98"/>
      <c r="Y39" s="68">
        <f t="shared" si="3"/>
        <v>0</v>
      </c>
      <c r="Z39" s="68">
        <f t="shared" si="4"/>
        <v>0</v>
      </c>
      <c r="AA39" s="72"/>
      <c r="AB39" s="68">
        <f t="shared" si="7"/>
        <v>0</v>
      </c>
      <c r="AC39" s="68">
        <f t="shared" si="8"/>
        <v>0</v>
      </c>
      <c r="AD39" s="68"/>
      <c r="AE39" s="55"/>
      <c r="AF39" s="69">
        <f t="shared" si="5"/>
        <v>0</v>
      </c>
      <c r="AG39" s="86"/>
      <c r="AH39" s="108"/>
      <c r="AI39" s="108"/>
      <c r="AJ39" s="108"/>
      <c r="AK39" s="70">
        <f t="shared" si="6"/>
        <v>0</v>
      </c>
      <c r="AL39" s="71"/>
      <c r="AM39" s="48"/>
      <c r="AN39" s="5"/>
      <c r="AO39" s="5"/>
      <c r="AP39" s="5"/>
      <c r="AQ39" s="5"/>
      <c r="AR39" s="7"/>
      <c r="AS39" s="7"/>
      <c r="AT39" s="7"/>
      <c r="AU39" s="7"/>
      <c r="AV39" s="7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</row>
    <row r="40" spans="1:115" ht="15" customHeight="1" x14ac:dyDescent="0.3">
      <c r="A40" s="65"/>
      <c r="B40" s="109"/>
      <c r="C40" s="110"/>
      <c r="D40" s="110"/>
      <c r="E40" s="111"/>
      <c r="F40" s="85"/>
      <c r="G40" s="86"/>
      <c r="H40" s="86"/>
      <c r="I40" s="86"/>
      <c r="J40" s="86"/>
      <c r="K40" s="86"/>
      <c r="L40" s="86"/>
      <c r="M40" s="86"/>
      <c r="N40" s="86"/>
      <c r="O40" s="86"/>
      <c r="P40" s="86"/>
      <c r="Q40" s="67">
        <f t="shared" si="0"/>
        <v>0</v>
      </c>
      <c r="R40" s="67">
        <f t="shared" si="1"/>
        <v>0</v>
      </c>
      <c r="S40" s="86"/>
      <c r="T40" s="86"/>
      <c r="U40" s="86"/>
      <c r="V40" s="86"/>
      <c r="W40" s="66">
        <f t="shared" si="2"/>
        <v>0</v>
      </c>
      <c r="X40" s="98"/>
      <c r="Y40" s="68">
        <f t="shared" si="3"/>
        <v>0</v>
      </c>
      <c r="Z40" s="68">
        <f t="shared" si="4"/>
        <v>0</v>
      </c>
      <c r="AA40" s="72"/>
      <c r="AB40" s="68">
        <f t="shared" si="7"/>
        <v>0</v>
      </c>
      <c r="AC40" s="68">
        <f t="shared" si="8"/>
        <v>0</v>
      </c>
      <c r="AD40" s="68"/>
      <c r="AE40" s="55"/>
      <c r="AF40" s="69">
        <f t="shared" si="5"/>
        <v>0</v>
      </c>
      <c r="AG40" s="86"/>
      <c r="AH40" s="108"/>
      <c r="AI40" s="108"/>
      <c r="AJ40" s="108"/>
      <c r="AK40" s="70">
        <f t="shared" si="6"/>
        <v>0</v>
      </c>
      <c r="AL40" s="71"/>
      <c r="AM40" s="48"/>
      <c r="AN40" s="5"/>
      <c r="AO40" s="5"/>
      <c r="AP40" s="5"/>
      <c r="AQ40" s="5"/>
      <c r="AR40" s="7"/>
      <c r="AS40" s="7"/>
      <c r="AT40" s="7"/>
      <c r="AU40" s="7"/>
      <c r="AV40" s="7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</row>
    <row r="41" spans="1:115" ht="15" customHeight="1" x14ac:dyDescent="0.3">
      <c r="A41" s="65"/>
      <c r="B41" s="109"/>
      <c r="C41" s="110"/>
      <c r="D41" s="110"/>
      <c r="E41" s="111"/>
      <c r="F41" s="85"/>
      <c r="G41" s="86"/>
      <c r="H41" s="86"/>
      <c r="I41" s="86"/>
      <c r="J41" s="86"/>
      <c r="K41" s="86"/>
      <c r="L41" s="86"/>
      <c r="M41" s="86"/>
      <c r="N41" s="86"/>
      <c r="O41" s="86"/>
      <c r="P41" s="86"/>
      <c r="Q41" s="67">
        <f t="shared" si="0"/>
        <v>0</v>
      </c>
      <c r="R41" s="67">
        <f t="shared" si="1"/>
        <v>0</v>
      </c>
      <c r="S41" s="86"/>
      <c r="T41" s="86"/>
      <c r="U41" s="86"/>
      <c r="V41" s="86"/>
      <c r="W41" s="66">
        <f t="shared" si="2"/>
        <v>0</v>
      </c>
      <c r="X41" s="97"/>
      <c r="Y41" s="68">
        <f t="shared" si="3"/>
        <v>0</v>
      </c>
      <c r="Z41" s="68">
        <f t="shared" si="4"/>
        <v>0</v>
      </c>
      <c r="AA41" s="72"/>
      <c r="AB41" s="68">
        <f t="shared" si="7"/>
        <v>0</v>
      </c>
      <c r="AC41" s="68">
        <f t="shared" si="8"/>
        <v>0</v>
      </c>
      <c r="AD41" s="68"/>
      <c r="AE41" s="55"/>
      <c r="AF41" s="69">
        <f t="shared" si="5"/>
        <v>0</v>
      </c>
      <c r="AG41" s="86"/>
      <c r="AH41" s="108"/>
      <c r="AI41" s="108"/>
      <c r="AJ41" s="108"/>
      <c r="AK41" s="70">
        <f t="shared" si="6"/>
        <v>0</v>
      </c>
      <c r="AL41" s="71"/>
      <c r="AM41" s="48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</row>
    <row r="42" spans="1:115" ht="15" customHeight="1" x14ac:dyDescent="0.3">
      <c r="A42" s="65"/>
      <c r="B42" s="109"/>
      <c r="C42" s="110"/>
      <c r="D42" s="110"/>
      <c r="E42" s="111"/>
      <c r="F42" s="85"/>
      <c r="G42" s="86"/>
      <c r="H42" s="86"/>
      <c r="I42" s="86"/>
      <c r="J42" s="86"/>
      <c r="K42" s="86"/>
      <c r="L42" s="86"/>
      <c r="M42" s="86"/>
      <c r="N42" s="86"/>
      <c r="O42" s="86"/>
      <c r="P42" s="86"/>
      <c r="Q42" s="67">
        <f t="shared" si="0"/>
        <v>0</v>
      </c>
      <c r="R42" s="67">
        <f t="shared" si="1"/>
        <v>0</v>
      </c>
      <c r="S42" s="86"/>
      <c r="T42" s="86"/>
      <c r="U42" s="86"/>
      <c r="V42" s="86"/>
      <c r="W42" s="66">
        <f t="shared" si="2"/>
        <v>0</v>
      </c>
      <c r="X42" s="97"/>
      <c r="Y42" s="68">
        <f t="shared" si="3"/>
        <v>0</v>
      </c>
      <c r="Z42" s="68">
        <f t="shared" si="4"/>
        <v>0</v>
      </c>
      <c r="AA42" s="72"/>
      <c r="AB42" s="68">
        <f t="shared" si="7"/>
        <v>0</v>
      </c>
      <c r="AC42" s="68">
        <f t="shared" si="8"/>
        <v>0</v>
      </c>
      <c r="AD42" s="68"/>
      <c r="AE42" s="55"/>
      <c r="AF42" s="69">
        <f t="shared" si="5"/>
        <v>0</v>
      </c>
      <c r="AG42" s="86"/>
      <c r="AH42" s="108"/>
      <c r="AI42" s="108"/>
      <c r="AJ42" s="108"/>
      <c r="AK42" s="70">
        <f t="shared" si="6"/>
        <v>0</v>
      </c>
      <c r="AL42" s="71"/>
      <c r="AM42" s="48"/>
      <c r="AN42" s="5"/>
      <c r="AO42" s="5"/>
      <c r="AP42" s="5"/>
      <c r="AQ42" s="5"/>
      <c r="AR42" s="7"/>
      <c r="AS42" s="7"/>
      <c r="AT42" s="7"/>
      <c r="AU42" s="7"/>
      <c r="AV42" s="7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</row>
    <row r="43" spans="1:115" ht="15" customHeight="1" x14ac:dyDescent="0.3">
      <c r="A43" s="65"/>
      <c r="B43" s="109"/>
      <c r="C43" s="110"/>
      <c r="D43" s="110"/>
      <c r="E43" s="111"/>
      <c r="F43" s="85"/>
      <c r="G43" s="86"/>
      <c r="H43" s="86"/>
      <c r="I43" s="86"/>
      <c r="J43" s="86"/>
      <c r="K43" s="86"/>
      <c r="L43" s="86"/>
      <c r="M43" s="86"/>
      <c r="N43" s="86"/>
      <c r="O43" s="86"/>
      <c r="P43" s="86"/>
      <c r="Q43" s="67">
        <f t="shared" si="0"/>
        <v>0</v>
      </c>
      <c r="R43" s="67">
        <f t="shared" si="1"/>
        <v>0</v>
      </c>
      <c r="S43" s="86"/>
      <c r="T43" s="86"/>
      <c r="U43" s="86"/>
      <c r="V43" s="86"/>
      <c r="W43" s="66">
        <f t="shared" si="2"/>
        <v>0</v>
      </c>
      <c r="X43" s="101"/>
      <c r="Y43" s="68">
        <f t="shared" si="3"/>
        <v>0</v>
      </c>
      <c r="Z43" s="68">
        <f t="shared" si="4"/>
        <v>0</v>
      </c>
      <c r="AA43" s="72"/>
      <c r="AB43" s="68">
        <f t="shared" si="7"/>
        <v>0</v>
      </c>
      <c r="AC43" s="68">
        <f t="shared" si="8"/>
        <v>0</v>
      </c>
      <c r="AD43" s="68"/>
      <c r="AE43" s="55"/>
      <c r="AF43" s="69">
        <f t="shared" si="5"/>
        <v>0</v>
      </c>
      <c r="AG43" s="86"/>
      <c r="AH43" s="108"/>
      <c r="AI43" s="108"/>
      <c r="AJ43" s="108"/>
      <c r="AK43" s="70">
        <f t="shared" si="6"/>
        <v>0</v>
      </c>
      <c r="AL43" s="71"/>
      <c r="AM43" s="48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</row>
    <row r="44" spans="1:115" ht="15" customHeight="1" x14ac:dyDescent="0.3">
      <c r="A44" s="65"/>
      <c r="B44" s="109"/>
      <c r="C44" s="110"/>
      <c r="D44" s="110"/>
      <c r="E44" s="111"/>
      <c r="F44" s="85"/>
      <c r="G44" s="86"/>
      <c r="H44" s="86"/>
      <c r="I44" s="86"/>
      <c r="J44" s="86"/>
      <c r="K44" s="86"/>
      <c r="L44" s="86"/>
      <c r="M44" s="86"/>
      <c r="N44" s="86"/>
      <c r="O44" s="86"/>
      <c r="P44" s="86"/>
      <c r="Q44" s="67">
        <f t="shared" si="0"/>
        <v>0</v>
      </c>
      <c r="R44" s="67">
        <f t="shared" si="1"/>
        <v>0</v>
      </c>
      <c r="S44" s="86"/>
      <c r="T44" s="86"/>
      <c r="U44" s="86"/>
      <c r="V44" s="86"/>
      <c r="W44" s="66">
        <f t="shared" si="2"/>
        <v>0</v>
      </c>
      <c r="X44" s="96"/>
      <c r="Y44" s="68">
        <f t="shared" si="3"/>
        <v>0</v>
      </c>
      <c r="Z44" s="68">
        <f t="shared" si="4"/>
        <v>0</v>
      </c>
      <c r="AA44" s="72"/>
      <c r="AB44" s="68">
        <f t="shared" si="7"/>
        <v>0</v>
      </c>
      <c r="AC44" s="68">
        <f t="shared" si="8"/>
        <v>0</v>
      </c>
      <c r="AD44" s="68"/>
      <c r="AE44" s="55"/>
      <c r="AF44" s="69">
        <f t="shared" si="5"/>
        <v>0</v>
      </c>
      <c r="AG44" s="86"/>
      <c r="AH44" s="108"/>
      <c r="AI44" s="108"/>
      <c r="AJ44" s="108"/>
      <c r="AK44" s="70">
        <f t="shared" si="6"/>
        <v>0</v>
      </c>
      <c r="AL44" s="71"/>
      <c r="AM44" s="48"/>
      <c r="AN44" s="5"/>
      <c r="AO44" s="5"/>
      <c r="AP44" s="5"/>
      <c r="AQ44" s="5"/>
      <c r="AR44" s="7"/>
      <c r="AS44" s="7"/>
      <c r="AT44" s="7"/>
      <c r="AU44" s="7"/>
      <c r="AV44" s="7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</row>
    <row r="45" spans="1:115" ht="15" customHeight="1" x14ac:dyDescent="0.3">
      <c r="A45" s="65"/>
      <c r="B45" s="109"/>
      <c r="C45" s="110"/>
      <c r="D45" s="110"/>
      <c r="E45" s="111"/>
      <c r="F45" s="85"/>
      <c r="G45" s="86"/>
      <c r="H45" s="86"/>
      <c r="I45" s="86"/>
      <c r="J45" s="86"/>
      <c r="K45" s="86"/>
      <c r="L45" s="86"/>
      <c r="M45" s="86"/>
      <c r="N45" s="86"/>
      <c r="O45" s="86"/>
      <c r="P45" s="86"/>
      <c r="Q45" s="67">
        <f t="shared" si="0"/>
        <v>0</v>
      </c>
      <c r="R45" s="67">
        <f t="shared" si="1"/>
        <v>0</v>
      </c>
      <c r="S45" s="86"/>
      <c r="T45" s="86"/>
      <c r="U45" s="86"/>
      <c r="V45" s="86"/>
      <c r="W45" s="66">
        <f t="shared" si="2"/>
        <v>0</v>
      </c>
      <c r="X45" s="97"/>
      <c r="Y45" s="68">
        <f t="shared" si="3"/>
        <v>0</v>
      </c>
      <c r="Z45" s="68">
        <f t="shared" si="4"/>
        <v>0</v>
      </c>
      <c r="AA45" s="72"/>
      <c r="AB45" s="68">
        <f t="shared" si="7"/>
        <v>0</v>
      </c>
      <c r="AC45" s="68">
        <f t="shared" si="8"/>
        <v>0</v>
      </c>
      <c r="AD45" s="68"/>
      <c r="AE45" s="55"/>
      <c r="AF45" s="69">
        <f t="shared" si="5"/>
        <v>0</v>
      </c>
      <c r="AG45" s="86"/>
      <c r="AH45" s="108"/>
      <c r="AI45" s="108"/>
      <c r="AJ45" s="108"/>
      <c r="AK45" s="70">
        <f t="shared" si="6"/>
        <v>0</v>
      </c>
      <c r="AL45" s="71"/>
      <c r="AM45" s="48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</row>
    <row r="46" spans="1:115" ht="15" customHeight="1" x14ac:dyDescent="0.3">
      <c r="A46" s="65"/>
      <c r="B46" s="109"/>
      <c r="C46" s="110"/>
      <c r="D46" s="110"/>
      <c r="E46" s="111"/>
      <c r="F46" s="85"/>
      <c r="G46" s="86"/>
      <c r="H46" s="86"/>
      <c r="I46" s="86"/>
      <c r="J46" s="86"/>
      <c r="K46" s="86"/>
      <c r="L46" s="86"/>
      <c r="M46" s="86"/>
      <c r="N46" s="86"/>
      <c r="O46" s="86"/>
      <c r="P46" s="86"/>
      <c r="Q46" s="67">
        <f t="shared" si="0"/>
        <v>0</v>
      </c>
      <c r="R46" s="67">
        <f t="shared" si="1"/>
        <v>0</v>
      </c>
      <c r="S46" s="86"/>
      <c r="T46" s="86"/>
      <c r="U46" s="86"/>
      <c r="V46" s="86"/>
      <c r="W46" s="66">
        <f t="shared" si="2"/>
        <v>0</v>
      </c>
      <c r="X46" s="98"/>
      <c r="Y46" s="68">
        <f t="shared" si="3"/>
        <v>0</v>
      </c>
      <c r="Z46" s="68">
        <f t="shared" si="4"/>
        <v>0</v>
      </c>
      <c r="AA46" s="72"/>
      <c r="AB46" s="68">
        <f t="shared" si="7"/>
        <v>0</v>
      </c>
      <c r="AC46" s="68">
        <f t="shared" si="8"/>
        <v>0</v>
      </c>
      <c r="AD46" s="68"/>
      <c r="AE46" s="55"/>
      <c r="AF46" s="69">
        <f t="shared" si="5"/>
        <v>0</v>
      </c>
      <c r="AG46" s="86"/>
      <c r="AH46" s="108"/>
      <c r="AI46" s="108"/>
      <c r="AJ46" s="108"/>
      <c r="AK46" s="70">
        <f t="shared" si="6"/>
        <v>0</v>
      </c>
      <c r="AL46" s="71"/>
      <c r="AM46" s="48"/>
      <c r="AN46" s="5"/>
      <c r="AO46" s="5"/>
      <c r="AP46" s="5"/>
      <c r="AQ46" s="5"/>
      <c r="AR46" s="7"/>
      <c r="AS46" s="7"/>
      <c r="AT46" s="7"/>
      <c r="AU46" s="7"/>
      <c r="AV46" s="7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</row>
    <row r="47" spans="1:115" ht="15.75" customHeight="1" x14ac:dyDescent="0.3">
      <c r="A47" s="65"/>
      <c r="B47" s="109"/>
      <c r="C47" s="110"/>
      <c r="D47" s="110"/>
      <c r="E47" s="111"/>
      <c r="F47" s="85"/>
      <c r="G47" s="86"/>
      <c r="H47" s="86"/>
      <c r="I47" s="86"/>
      <c r="J47" s="86"/>
      <c r="K47" s="86"/>
      <c r="L47" s="86"/>
      <c r="M47" s="86"/>
      <c r="N47" s="86"/>
      <c r="O47" s="86"/>
      <c r="P47" s="86"/>
      <c r="Q47" s="67">
        <f t="shared" si="0"/>
        <v>0</v>
      </c>
      <c r="R47" s="67">
        <f t="shared" si="1"/>
        <v>0</v>
      </c>
      <c r="S47" s="86"/>
      <c r="T47" s="86"/>
      <c r="U47" s="86"/>
      <c r="V47" s="86"/>
      <c r="W47" s="66">
        <f t="shared" si="2"/>
        <v>0</v>
      </c>
      <c r="X47" s="97"/>
      <c r="Y47" s="68">
        <f t="shared" si="3"/>
        <v>0</v>
      </c>
      <c r="Z47" s="68">
        <f t="shared" si="4"/>
        <v>0</v>
      </c>
      <c r="AA47" s="72"/>
      <c r="AB47" s="68">
        <f t="shared" si="7"/>
        <v>0</v>
      </c>
      <c r="AC47" s="68">
        <f t="shared" si="8"/>
        <v>0</v>
      </c>
      <c r="AD47" s="68"/>
      <c r="AE47" s="55"/>
      <c r="AF47" s="69">
        <f t="shared" si="5"/>
        <v>0</v>
      </c>
      <c r="AG47" s="86"/>
      <c r="AH47" s="108"/>
      <c r="AI47" s="108"/>
      <c r="AJ47" s="108"/>
      <c r="AK47" s="70">
        <f t="shared" si="6"/>
        <v>0</v>
      </c>
      <c r="AL47" s="71"/>
      <c r="AM47" s="48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</row>
    <row r="48" spans="1:115" ht="15" customHeight="1" x14ac:dyDescent="0.3">
      <c r="A48" s="65"/>
      <c r="B48" s="109"/>
      <c r="C48" s="110"/>
      <c r="D48" s="110"/>
      <c r="E48" s="111"/>
      <c r="F48" s="88"/>
      <c r="G48" s="86"/>
      <c r="H48" s="86"/>
      <c r="I48" s="86"/>
      <c r="J48" s="86"/>
      <c r="K48" s="86"/>
      <c r="L48" s="86"/>
      <c r="M48" s="86"/>
      <c r="N48" s="86"/>
      <c r="O48" s="86"/>
      <c r="P48" s="86"/>
      <c r="Q48" s="67">
        <f t="shared" si="0"/>
        <v>0</v>
      </c>
      <c r="R48" s="67">
        <f t="shared" si="1"/>
        <v>0</v>
      </c>
      <c r="S48" s="86"/>
      <c r="T48" s="86"/>
      <c r="U48" s="86"/>
      <c r="V48" s="86"/>
      <c r="W48" s="66">
        <f t="shared" si="2"/>
        <v>0</v>
      </c>
      <c r="X48" s="97"/>
      <c r="Y48" s="68">
        <f t="shared" si="3"/>
        <v>0</v>
      </c>
      <c r="Z48" s="68">
        <f t="shared" si="4"/>
        <v>0</v>
      </c>
      <c r="AA48" s="72"/>
      <c r="AB48" s="68">
        <f t="shared" si="7"/>
        <v>0</v>
      </c>
      <c r="AC48" s="68">
        <f t="shared" si="8"/>
        <v>0</v>
      </c>
      <c r="AD48" s="68"/>
      <c r="AE48" s="55"/>
      <c r="AF48" s="69">
        <f t="shared" si="5"/>
        <v>0</v>
      </c>
      <c r="AG48" s="86"/>
      <c r="AH48" s="108"/>
      <c r="AI48" s="108"/>
      <c r="AJ48" s="108"/>
      <c r="AK48" s="70">
        <f t="shared" si="6"/>
        <v>0</v>
      </c>
      <c r="AL48" s="71"/>
      <c r="AM48" s="48"/>
      <c r="AN48" s="5"/>
      <c r="AO48" s="5"/>
      <c r="AP48" s="5"/>
      <c r="AQ48" s="5"/>
      <c r="AR48" s="7"/>
      <c r="AS48" s="7"/>
      <c r="AT48" s="7"/>
      <c r="AU48" s="7"/>
      <c r="AV48" s="7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</row>
    <row r="49" spans="1:115" ht="15" customHeight="1" x14ac:dyDescent="0.3">
      <c r="A49" s="65"/>
      <c r="B49" s="109"/>
      <c r="C49" s="110"/>
      <c r="D49" s="110"/>
      <c r="E49" s="111"/>
      <c r="F49" s="85"/>
      <c r="G49" s="86"/>
      <c r="H49" s="86"/>
      <c r="I49" s="86"/>
      <c r="J49" s="86"/>
      <c r="K49" s="86"/>
      <c r="L49" s="86"/>
      <c r="M49" s="86"/>
      <c r="N49" s="86"/>
      <c r="O49" s="86"/>
      <c r="P49" s="86"/>
      <c r="Q49" s="67">
        <f t="shared" si="0"/>
        <v>0</v>
      </c>
      <c r="R49" s="67">
        <f t="shared" si="1"/>
        <v>0</v>
      </c>
      <c r="S49" s="86"/>
      <c r="T49" s="86"/>
      <c r="U49" s="86"/>
      <c r="V49" s="86"/>
      <c r="W49" s="66">
        <f t="shared" si="2"/>
        <v>0</v>
      </c>
      <c r="X49" s="96"/>
      <c r="Y49" s="68">
        <f t="shared" si="3"/>
        <v>0</v>
      </c>
      <c r="Z49" s="68">
        <f t="shared" si="4"/>
        <v>0</v>
      </c>
      <c r="AA49" s="72"/>
      <c r="AB49" s="68">
        <f t="shared" si="7"/>
        <v>0</v>
      </c>
      <c r="AC49" s="68">
        <f t="shared" si="8"/>
        <v>0</v>
      </c>
      <c r="AD49" s="68"/>
      <c r="AE49" s="55"/>
      <c r="AF49" s="69">
        <f t="shared" si="5"/>
        <v>0</v>
      </c>
      <c r="AG49" s="86"/>
      <c r="AH49" s="108"/>
      <c r="AI49" s="108"/>
      <c r="AJ49" s="108"/>
      <c r="AK49" s="70">
        <f t="shared" si="6"/>
        <v>0</v>
      </c>
      <c r="AL49" s="71"/>
      <c r="AM49" s="48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</row>
    <row r="50" spans="1:115" s="42" customFormat="1" ht="15" customHeight="1" x14ac:dyDescent="0.3">
      <c r="A50" s="65"/>
      <c r="B50" s="109"/>
      <c r="C50" s="110"/>
      <c r="D50" s="110"/>
      <c r="E50" s="111"/>
      <c r="F50" s="85"/>
      <c r="G50" s="86"/>
      <c r="H50" s="86"/>
      <c r="I50" s="86"/>
      <c r="J50" s="86"/>
      <c r="K50" s="86"/>
      <c r="L50" s="86"/>
      <c r="M50" s="86"/>
      <c r="N50" s="86"/>
      <c r="O50" s="86"/>
      <c r="P50" s="86"/>
      <c r="Q50" s="67">
        <f t="shared" si="0"/>
        <v>0</v>
      </c>
      <c r="R50" s="67">
        <f t="shared" si="1"/>
        <v>0</v>
      </c>
      <c r="S50" s="86"/>
      <c r="T50" s="86"/>
      <c r="U50" s="86"/>
      <c r="V50" s="86"/>
      <c r="W50" s="66">
        <f t="shared" si="2"/>
        <v>0</v>
      </c>
      <c r="X50" s="101"/>
      <c r="Y50" s="68">
        <f t="shared" si="3"/>
        <v>0</v>
      </c>
      <c r="Z50" s="68">
        <f t="shared" si="4"/>
        <v>0</v>
      </c>
      <c r="AA50" s="72"/>
      <c r="AB50" s="68">
        <f t="shared" si="7"/>
        <v>0</v>
      </c>
      <c r="AC50" s="68">
        <f t="shared" si="8"/>
        <v>0</v>
      </c>
      <c r="AD50" s="68"/>
      <c r="AE50" s="55"/>
      <c r="AF50" s="69">
        <f t="shared" si="5"/>
        <v>0</v>
      </c>
      <c r="AG50" s="86"/>
      <c r="AH50" s="108"/>
      <c r="AI50" s="108"/>
      <c r="AJ50" s="108"/>
      <c r="AK50" s="70">
        <f t="shared" si="6"/>
        <v>0</v>
      </c>
      <c r="AL50" s="71"/>
      <c r="AM50" s="48"/>
      <c r="AN50" s="5"/>
      <c r="AO50" s="5"/>
      <c r="AP50" s="5"/>
      <c r="AQ50" s="5"/>
      <c r="AR50" s="7"/>
      <c r="AS50" s="7"/>
      <c r="AT50" s="7"/>
      <c r="AU50" s="7"/>
      <c r="AV50" s="7"/>
      <c r="AW50"/>
      <c r="AX50"/>
      <c r="AY50"/>
      <c r="AZ50"/>
      <c r="BA50"/>
      <c r="BB50"/>
      <c r="BC50"/>
      <c r="BD50"/>
      <c r="BE50"/>
      <c r="BF50"/>
      <c r="BG50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/>
      <c r="CG50"/>
      <c r="CH50"/>
      <c r="CI50"/>
      <c r="CJ50"/>
      <c r="CK50"/>
      <c r="CL50"/>
      <c r="CM50"/>
      <c r="CN50"/>
      <c r="CO50"/>
      <c r="CP50"/>
      <c r="CQ50"/>
      <c r="CR50"/>
      <c r="CS50"/>
      <c r="CT50"/>
      <c r="CU50"/>
      <c r="CV50"/>
      <c r="CW50"/>
      <c r="CX50"/>
      <c r="CY50"/>
      <c r="CZ50"/>
      <c r="DA50"/>
      <c r="DB50"/>
      <c r="DC50"/>
      <c r="DD50"/>
      <c r="DE50"/>
      <c r="DF50"/>
      <c r="DG50"/>
      <c r="DH50"/>
      <c r="DI50"/>
      <c r="DJ50"/>
      <c r="DK50"/>
    </row>
    <row r="51" spans="1:115" s="42" customFormat="1" ht="15.75" customHeight="1" x14ac:dyDescent="0.3">
      <c r="A51" s="65"/>
      <c r="B51" s="109"/>
      <c r="C51" s="110"/>
      <c r="D51" s="110"/>
      <c r="E51" s="111"/>
      <c r="F51" s="90"/>
      <c r="G51" s="86"/>
      <c r="H51" s="86"/>
      <c r="I51" s="86"/>
      <c r="J51" s="86"/>
      <c r="K51" s="86"/>
      <c r="L51" s="86"/>
      <c r="M51" s="86"/>
      <c r="N51" s="86"/>
      <c r="O51" s="86"/>
      <c r="P51" s="86"/>
      <c r="Q51" s="67">
        <f t="shared" si="0"/>
        <v>0</v>
      </c>
      <c r="R51" s="67">
        <f t="shared" si="1"/>
        <v>0</v>
      </c>
      <c r="S51" s="86"/>
      <c r="T51" s="86"/>
      <c r="U51" s="86"/>
      <c r="V51" s="86"/>
      <c r="W51" s="66">
        <f t="shared" si="2"/>
        <v>0</v>
      </c>
      <c r="X51" s="96"/>
      <c r="Y51" s="68">
        <f t="shared" si="3"/>
        <v>0</v>
      </c>
      <c r="Z51" s="68">
        <f t="shared" si="4"/>
        <v>0</v>
      </c>
      <c r="AA51" s="72"/>
      <c r="AB51" s="68">
        <f t="shared" si="7"/>
        <v>0</v>
      </c>
      <c r="AC51" s="68">
        <f t="shared" si="8"/>
        <v>0</v>
      </c>
      <c r="AD51" s="68"/>
      <c r="AE51" s="55"/>
      <c r="AF51" s="69">
        <f t="shared" si="5"/>
        <v>0</v>
      </c>
      <c r="AG51" s="86"/>
      <c r="AH51" s="108"/>
      <c r="AI51" s="108"/>
      <c r="AJ51" s="108"/>
      <c r="AK51" s="70">
        <f t="shared" si="6"/>
        <v>0</v>
      </c>
      <c r="AL51" s="71"/>
      <c r="AM51" s="48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</row>
    <row r="52" spans="1:115" ht="15" customHeight="1" x14ac:dyDescent="0.3">
      <c r="A52" s="65"/>
      <c r="B52" s="109"/>
      <c r="C52" s="110"/>
      <c r="D52" s="110"/>
      <c r="E52" s="111"/>
      <c r="F52" s="88"/>
      <c r="G52" s="86"/>
      <c r="H52" s="86"/>
      <c r="I52" s="86"/>
      <c r="J52" s="86"/>
      <c r="K52" s="86"/>
      <c r="L52" s="86"/>
      <c r="M52" s="86"/>
      <c r="N52" s="86"/>
      <c r="O52" s="86"/>
      <c r="P52" s="86"/>
      <c r="Q52" s="67">
        <f t="shared" si="0"/>
        <v>0</v>
      </c>
      <c r="R52" s="67">
        <f t="shared" si="1"/>
        <v>0</v>
      </c>
      <c r="S52" s="86"/>
      <c r="T52" s="86"/>
      <c r="U52" s="86"/>
      <c r="V52" s="86"/>
      <c r="W52" s="66">
        <f t="shared" si="2"/>
        <v>0</v>
      </c>
      <c r="X52" s="98"/>
      <c r="Y52" s="68">
        <f t="shared" si="3"/>
        <v>0</v>
      </c>
      <c r="Z52" s="68">
        <f t="shared" si="4"/>
        <v>0</v>
      </c>
      <c r="AA52" s="72"/>
      <c r="AB52" s="68">
        <f t="shared" si="7"/>
        <v>0</v>
      </c>
      <c r="AC52" s="68">
        <f t="shared" si="8"/>
        <v>0</v>
      </c>
      <c r="AD52" s="68"/>
      <c r="AE52" s="55"/>
      <c r="AF52" s="69">
        <f t="shared" si="5"/>
        <v>0</v>
      </c>
      <c r="AG52" s="86"/>
      <c r="AH52" s="108"/>
      <c r="AI52" s="108"/>
      <c r="AJ52" s="108"/>
      <c r="AK52" s="70">
        <f t="shared" si="6"/>
        <v>0</v>
      </c>
      <c r="AL52" s="71"/>
      <c r="AM52" s="48"/>
      <c r="AN52" s="5"/>
      <c r="AO52" s="5"/>
      <c r="AP52" s="5"/>
      <c r="AQ52" s="5"/>
      <c r="AR52" s="7"/>
      <c r="AS52" s="7"/>
      <c r="AT52" s="7"/>
      <c r="AU52" s="7"/>
      <c r="AV52" s="7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</row>
    <row r="53" spans="1:115" ht="15" customHeight="1" x14ac:dyDescent="0.3">
      <c r="A53" s="65"/>
      <c r="B53" s="109"/>
      <c r="C53" s="110"/>
      <c r="D53" s="110"/>
      <c r="E53" s="111"/>
      <c r="F53" s="90" t="s">
        <v>52</v>
      </c>
      <c r="G53" s="86"/>
      <c r="H53" s="86"/>
      <c r="I53" s="86"/>
      <c r="J53" s="86"/>
      <c r="K53" s="86"/>
      <c r="L53" s="86"/>
      <c r="M53" s="86"/>
      <c r="N53" s="86"/>
      <c r="O53" s="86"/>
      <c r="P53" s="86"/>
      <c r="Q53" s="67">
        <f t="shared" si="0"/>
        <v>0</v>
      </c>
      <c r="R53" s="67">
        <f t="shared" si="1"/>
        <v>0</v>
      </c>
      <c r="S53" s="86"/>
      <c r="T53" s="86"/>
      <c r="U53" s="86"/>
      <c r="V53" s="86"/>
      <c r="W53" s="66">
        <f t="shared" si="2"/>
        <v>0</v>
      </c>
      <c r="X53" s="98"/>
      <c r="Y53" s="68">
        <f t="shared" si="3"/>
        <v>0</v>
      </c>
      <c r="Z53" s="68">
        <f t="shared" si="4"/>
        <v>0</v>
      </c>
      <c r="AA53" s="72"/>
      <c r="AB53" s="68">
        <f t="shared" si="7"/>
        <v>0</v>
      </c>
      <c r="AC53" s="68">
        <f t="shared" si="8"/>
        <v>0</v>
      </c>
      <c r="AD53" s="68"/>
      <c r="AE53" s="55"/>
      <c r="AF53" s="69">
        <f t="shared" si="5"/>
        <v>0</v>
      </c>
      <c r="AG53" s="86"/>
      <c r="AH53" s="108"/>
      <c r="AI53" s="108"/>
      <c r="AJ53" s="108"/>
      <c r="AK53" s="70">
        <f t="shared" si="6"/>
        <v>0</v>
      </c>
      <c r="AL53" s="71"/>
      <c r="AM53" s="48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</row>
    <row r="54" spans="1:115" ht="15" customHeight="1" x14ac:dyDescent="0.3">
      <c r="A54" s="65"/>
      <c r="B54" s="109"/>
      <c r="C54" s="110"/>
      <c r="D54" s="110"/>
      <c r="E54" s="111"/>
      <c r="F54" s="85"/>
      <c r="G54" s="86"/>
      <c r="H54" s="86"/>
      <c r="I54" s="86"/>
      <c r="J54" s="86"/>
      <c r="K54" s="86"/>
      <c r="L54" s="86"/>
      <c r="M54" s="86"/>
      <c r="N54" s="86"/>
      <c r="O54" s="86"/>
      <c r="P54" s="86"/>
      <c r="Q54" s="67">
        <f t="shared" si="0"/>
        <v>0</v>
      </c>
      <c r="R54" s="67">
        <f t="shared" si="1"/>
        <v>0</v>
      </c>
      <c r="S54" s="86"/>
      <c r="T54" s="86"/>
      <c r="U54" s="86"/>
      <c r="V54" s="86"/>
      <c r="W54" s="66">
        <f t="shared" si="2"/>
        <v>0</v>
      </c>
      <c r="X54" s="98"/>
      <c r="Y54" s="68">
        <f t="shared" si="3"/>
        <v>0</v>
      </c>
      <c r="Z54" s="68">
        <f t="shared" si="4"/>
        <v>0</v>
      </c>
      <c r="AA54" s="72"/>
      <c r="AB54" s="68">
        <f t="shared" si="7"/>
        <v>0</v>
      </c>
      <c r="AC54" s="68">
        <f t="shared" si="8"/>
        <v>0</v>
      </c>
      <c r="AD54" s="68"/>
      <c r="AE54" s="55"/>
      <c r="AF54" s="69">
        <f t="shared" si="5"/>
        <v>0</v>
      </c>
      <c r="AG54" s="86"/>
      <c r="AH54" s="108"/>
      <c r="AI54" s="108"/>
      <c r="AJ54" s="108"/>
      <c r="AK54" s="70">
        <f t="shared" si="6"/>
        <v>0</v>
      </c>
      <c r="AL54" s="71"/>
      <c r="AM54" s="48"/>
      <c r="AN54" s="5"/>
      <c r="AO54" s="5"/>
      <c r="AP54" s="5"/>
      <c r="AQ54" s="5"/>
      <c r="AR54" s="7"/>
      <c r="AS54" s="7"/>
      <c r="AT54" s="7"/>
      <c r="AU54" s="7"/>
      <c r="AV54" s="7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</row>
    <row r="55" spans="1:115" ht="15" customHeight="1" x14ac:dyDescent="0.3">
      <c r="A55" s="65"/>
      <c r="B55" s="109"/>
      <c r="C55" s="110"/>
      <c r="D55" s="110"/>
      <c r="E55" s="111"/>
      <c r="F55" s="85"/>
      <c r="G55" s="86"/>
      <c r="H55" s="86"/>
      <c r="I55" s="86"/>
      <c r="J55" s="86"/>
      <c r="K55" s="86"/>
      <c r="L55" s="86"/>
      <c r="M55" s="86"/>
      <c r="N55" s="86"/>
      <c r="O55" s="86"/>
      <c r="P55" s="86"/>
      <c r="Q55" s="67">
        <f t="shared" si="0"/>
        <v>0</v>
      </c>
      <c r="R55" s="67">
        <f t="shared" si="1"/>
        <v>0</v>
      </c>
      <c r="S55" s="86"/>
      <c r="T55" s="86"/>
      <c r="U55" s="86"/>
      <c r="V55" s="86"/>
      <c r="W55" s="66">
        <f t="shared" si="2"/>
        <v>0</v>
      </c>
      <c r="X55" s="98"/>
      <c r="Y55" s="68">
        <f t="shared" si="3"/>
        <v>0</v>
      </c>
      <c r="Z55" s="68">
        <f t="shared" si="4"/>
        <v>0</v>
      </c>
      <c r="AA55" s="72"/>
      <c r="AB55" s="68">
        <f t="shared" si="7"/>
        <v>0</v>
      </c>
      <c r="AC55" s="68">
        <f t="shared" si="8"/>
        <v>0</v>
      </c>
      <c r="AD55" s="68"/>
      <c r="AE55" s="55"/>
      <c r="AF55" s="69">
        <f t="shared" si="5"/>
        <v>0</v>
      </c>
      <c r="AG55" s="86"/>
      <c r="AH55" s="108"/>
      <c r="AI55" s="108"/>
      <c r="AJ55" s="108"/>
      <c r="AK55" s="70">
        <f t="shared" si="6"/>
        <v>0</v>
      </c>
      <c r="AL55" s="71"/>
      <c r="AM55" s="48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</row>
    <row r="56" spans="1:115" ht="15" customHeight="1" x14ac:dyDescent="0.3">
      <c r="A56" s="65"/>
      <c r="B56" s="109"/>
      <c r="C56" s="110"/>
      <c r="D56" s="110"/>
      <c r="E56" s="111"/>
      <c r="F56" s="91"/>
      <c r="G56" s="86"/>
      <c r="H56" s="86"/>
      <c r="I56" s="86"/>
      <c r="J56" s="86"/>
      <c r="K56" s="86"/>
      <c r="L56" s="86"/>
      <c r="M56" s="86"/>
      <c r="N56" s="86"/>
      <c r="O56" s="86"/>
      <c r="P56" s="86"/>
      <c r="Q56" s="67">
        <f t="shared" si="0"/>
        <v>0</v>
      </c>
      <c r="R56" s="67">
        <f t="shared" si="1"/>
        <v>0</v>
      </c>
      <c r="S56" s="86"/>
      <c r="T56" s="86"/>
      <c r="U56" s="86"/>
      <c r="V56" s="86"/>
      <c r="W56" s="66">
        <f t="shared" si="2"/>
        <v>0</v>
      </c>
      <c r="X56" s="98"/>
      <c r="Y56" s="68">
        <f t="shared" si="3"/>
        <v>0</v>
      </c>
      <c r="Z56" s="68">
        <f t="shared" si="4"/>
        <v>0</v>
      </c>
      <c r="AA56" s="72"/>
      <c r="AB56" s="68">
        <f t="shared" si="7"/>
        <v>0</v>
      </c>
      <c r="AC56" s="68">
        <f t="shared" si="8"/>
        <v>0</v>
      </c>
      <c r="AD56" s="68"/>
      <c r="AE56" s="55"/>
      <c r="AF56" s="69">
        <f t="shared" si="5"/>
        <v>0</v>
      </c>
      <c r="AG56" s="86"/>
      <c r="AH56" s="108"/>
      <c r="AI56" s="108"/>
      <c r="AJ56" s="108"/>
      <c r="AK56" s="70">
        <f t="shared" si="6"/>
        <v>0</v>
      </c>
      <c r="AL56" s="71"/>
      <c r="AM56" s="48"/>
      <c r="AN56" s="5"/>
      <c r="AO56" s="5"/>
      <c r="AP56" s="5"/>
      <c r="AQ56" s="5"/>
      <c r="AR56" s="7"/>
      <c r="AS56" s="7"/>
      <c r="AT56" s="7"/>
      <c r="AU56" s="7"/>
      <c r="AV56" s="7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</row>
    <row r="57" spans="1:115" ht="15" customHeight="1" x14ac:dyDescent="0.3">
      <c r="A57" s="65"/>
      <c r="B57" s="109"/>
      <c r="C57" s="110"/>
      <c r="D57" s="110"/>
      <c r="E57" s="111"/>
      <c r="F57" s="92"/>
      <c r="G57" s="86"/>
      <c r="H57" s="86"/>
      <c r="I57" s="86"/>
      <c r="J57" s="86"/>
      <c r="K57" s="86"/>
      <c r="L57" s="86"/>
      <c r="M57" s="86"/>
      <c r="N57" s="86"/>
      <c r="O57" s="86"/>
      <c r="P57" s="86"/>
      <c r="Q57" s="67">
        <f t="shared" si="0"/>
        <v>0</v>
      </c>
      <c r="R57" s="67">
        <f t="shared" si="1"/>
        <v>0</v>
      </c>
      <c r="S57" s="86"/>
      <c r="T57" s="86"/>
      <c r="U57" s="86"/>
      <c r="V57" s="86"/>
      <c r="W57" s="66">
        <f t="shared" si="2"/>
        <v>0</v>
      </c>
      <c r="X57" s="98"/>
      <c r="Y57" s="68">
        <f t="shared" si="3"/>
        <v>0</v>
      </c>
      <c r="Z57" s="68">
        <f t="shared" si="4"/>
        <v>0</v>
      </c>
      <c r="AA57" s="72"/>
      <c r="AB57" s="68">
        <f t="shared" si="7"/>
        <v>0</v>
      </c>
      <c r="AC57" s="68">
        <f t="shared" si="8"/>
        <v>0</v>
      </c>
      <c r="AD57" s="68"/>
      <c r="AE57" s="55"/>
      <c r="AF57" s="69">
        <f t="shared" si="5"/>
        <v>0</v>
      </c>
      <c r="AG57" s="86"/>
      <c r="AH57" s="108"/>
      <c r="AI57" s="108"/>
      <c r="AJ57" s="108"/>
      <c r="AK57" s="70">
        <f t="shared" si="6"/>
        <v>0</v>
      </c>
      <c r="AL57" s="71"/>
      <c r="AM57" s="48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</row>
    <row r="58" spans="1:115" s="42" customFormat="1" ht="15" customHeight="1" x14ac:dyDescent="0.3">
      <c r="A58" s="65"/>
      <c r="B58" s="109"/>
      <c r="C58" s="110"/>
      <c r="D58" s="110"/>
      <c r="E58" s="111"/>
      <c r="F58" s="93"/>
      <c r="G58" s="86"/>
      <c r="H58" s="86"/>
      <c r="I58" s="86"/>
      <c r="J58" s="86"/>
      <c r="K58" s="86"/>
      <c r="L58" s="86"/>
      <c r="M58" s="86"/>
      <c r="N58" s="86"/>
      <c r="O58" s="86"/>
      <c r="P58" s="86"/>
      <c r="Q58" s="67">
        <f t="shared" si="0"/>
        <v>0</v>
      </c>
      <c r="R58" s="67">
        <f t="shared" si="1"/>
        <v>0</v>
      </c>
      <c r="S58" s="86"/>
      <c r="T58" s="86"/>
      <c r="U58" s="86"/>
      <c r="V58" s="86"/>
      <c r="W58" s="66">
        <f t="shared" si="2"/>
        <v>0</v>
      </c>
      <c r="X58" s="98"/>
      <c r="Y58" s="68">
        <f t="shared" si="3"/>
        <v>0</v>
      </c>
      <c r="Z58" s="68">
        <f t="shared" si="4"/>
        <v>0</v>
      </c>
      <c r="AA58" s="72"/>
      <c r="AB58" s="68">
        <f t="shared" si="7"/>
        <v>0</v>
      </c>
      <c r="AC58" s="68">
        <f t="shared" si="8"/>
        <v>0</v>
      </c>
      <c r="AD58" s="68"/>
      <c r="AE58" s="55"/>
      <c r="AF58" s="69">
        <f t="shared" si="5"/>
        <v>0</v>
      </c>
      <c r="AG58" s="86"/>
      <c r="AH58" s="108"/>
      <c r="AI58" s="108"/>
      <c r="AJ58" s="108"/>
      <c r="AK58" s="70">
        <f t="shared" si="6"/>
        <v>0</v>
      </c>
      <c r="AL58" s="71"/>
      <c r="AM58" s="48"/>
      <c r="AN58" s="5"/>
      <c r="AO58" s="5"/>
      <c r="AP58" s="5"/>
      <c r="AQ58" s="5"/>
      <c r="AR58" s="7"/>
      <c r="AS58" s="7"/>
      <c r="AT58" s="7"/>
      <c r="AU58" s="7"/>
      <c r="AV58" s="7"/>
      <c r="AW58"/>
      <c r="AX58"/>
      <c r="AY58"/>
      <c r="AZ58"/>
      <c r="BA58"/>
      <c r="BB58"/>
      <c r="BC58"/>
      <c r="BD58"/>
      <c r="BE58"/>
      <c r="BF58"/>
      <c r="BG58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/>
      <c r="CG58"/>
      <c r="CH58"/>
      <c r="CI58"/>
      <c r="CJ58"/>
      <c r="CK58"/>
      <c r="CL58"/>
      <c r="CM58"/>
      <c r="CN58"/>
      <c r="CO58"/>
      <c r="CP58"/>
      <c r="CQ58"/>
      <c r="CR58"/>
      <c r="CS58"/>
      <c r="CT58"/>
      <c r="CU58"/>
      <c r="CV58"/>
      <c r="CW58"/>
      <c r="CX58"/>
      <c r="CY58"/>
      <c r="CZ58"/>
      <c r="DA58"/>
      <c r="DB58"/>
      <c r="DC58"/>
      <c r="DD58"/>
      <c r="DE58"/>
      <c r="DF58"/>
      <c r="DG58"/>
      <c r="DH58"/>
      <c r="DI58"/>
      <c r="DJ58"/>
      <c r="DK58"/>
    </row>
    <row r="59" spans="1:115" s="42" customFormat="1" ht="15" customHeight="1" x14ac:dyDescent="0.3">
      <c r="A59" s="65"/>
      <c r="B59" s="109"/>
      <c r="C59" s="110"/>
      <c r="D59" s="110"/>
      <c r="E59" s="111"/>
      <c r="F59" s="85"/>
      <c r="G59" s="86"/>
      <c r="H59" s="86"/>
      <c r="I59" s="86"/>
      <c r="J59" s="86"/>
      <c r="K59" s="86"/>
      <c r="L59" s="86"/>
      <c r="M59" s="86"/>
      <c r="N59" s="86"/>
      <c r="O59" s="86"/>
      <c r="P59" s="86"/>
      <c r="Q59" s="67">
        <f t="shared" si="0"/>
        <v>0</v>
      </c>
      <c r="R59" s="67">
        <f t="shared" si="1"/>
        <v>0</v>
      </c>
      <c r="S59" s="86"/>
      <c r="T59" s="86"/>
      <c r="U59" s="86"/>
      <c r="V59" s="86"/>
      <c r="W59" s="66">
        <f t="shared" si="2"/>
        <v>0</v>
      </c>
      <c r="X59" s="98"/>
      <c r="Y59" s="68">
        <f t="shared" si="3"/>
        <v>0</v>
      </c>
      <c r="Z59" s="68">
        <f t="shared" si="4"/>
        <v>0</v>
      </c>
      <c r="AA59" s="72"/>
      <c r="AB59" s="68">
        <f t="shared" si="7"/>
        <v>0</v>
      </c>
      <c r="AC59" s="68">
        <f t="shared" si="8"/>
        <v>0</v>
      </c>
      <c r="AD59" s="68"/>
      <c r="AE59" s="55"/>
      <c r="AF59" s="69">
        <f t="shared" si="5"/>
        <v>0</v>
      </c>
      <c r="AG59" s="86"/>
      <c r="AH59" s="108"/>
      <c r="AI59" s="108"/>
      <c r="AJ59" s="108"/>
      <c r="AK59" s="70">
        <f t="shared" si="6"/>
        <v>0</v>
      </c>
      <c r="AL59" s="71"/>
      <c r="AM59" s="48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</row>
    <row r="60" spans="1:115" ht="15" customHeight="1" x14ac:dyDescent="0.3">
      <c r="A60" s="65"/>
      <c r="B60" s="109"/>
      <c r="C60" s="110"/>
      <c r="D60" s="110"/>
      <c r="E60" s="111"/>
      <c r="F60" s="85"/>
      <c r="G60" s="86"/>
      <c r="H60" s="86"/>
      <c r="I60" s="86"/>
      <c r="J60" s="86"/>
      <c r="K60" s="86"/>
      <c r="L60" s="86"/>
      <c r="M60" s="86"/>
      <c r="N60" s="86"/>
      <c r="O60" s="86"/>
      <c r="P60" s="86"/>
      <c r="Q60" s="67">
        <f t="shared" si="0"/>
        <v>0</v>
      </c>
      <c r="R60" s="67">
        <f t="shared" si="1"/>
        <v>0</v>
      </c>
      <c r="S60" s="86"/>
      <c r="T60" s="86"/>
      <c r="U60" s="86"/>
      <c r="V60" s="86"/>
      <c r="W60" s="66">
        <f t="shared" si="2"/>
        <v>0</v>
      </c>
      <c r="X60" s="98"/>
      <c r="Y60" s="68">
        <f t="shared" si="3"/>
        <v>0</v>
      </c>
      <c r="Z60" s="68">
        <f t="shared" si="4"/>
        <v>0</v>
      </c>
      <c r="AA60" s="72"/>
      <c r="AB60" s="68">
        <f t="shared" si="7"/>
        <v>0</v>
      </c>
      <c r="AC60" s="68">
        <f t="shared" si="8"/>
        <v>0</v>
      </c>
      <c r="AD60" s="68"/>
      <c r="AE60" s="55"/>
      <c r="AF60" s="69">
        <f t="shared" si="5"/>
        <v>0</v>
      </c>
      <c r="AG60" s="86"/>
      <c r="AH60" s="108"/>
      <c r="AI60" s="108"/>
      <c r="AJ60" s="108"/>
      <c r="AK60" s="70">
        <f t="shared" si="6"/>
        <v>0</v>
      </c>
      <c r="AL60" s="71"/>
      <c r="AM60" s="48"/>
      <c r="AN60" s="5"/>
      <c r="AO60" s="5"/>
      <c r="AP60" s="5"/>
      <c r="AQ60" s="5"/>
      <c r="AR60" s="7"/>
      <c r="AS60" s="7"/>
      <c r="AT60" s="7"/>
      <c r="AU60" s="7"/>
      <c r="AV60" s="7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</row>
    <row r="61" spans="1:115" ht="15.75" customHeight="1" x14ac:dyDescent="0.3">
      <c r="A61" s="65"/>
      <c r="B61" s="109"/>
      <c r="C61" s="110"/>
      <c r="D61" s="110"/>
      <c r="E61" s="111"/>
      <c r="F61" s="85"/>
      <c r="G61" s="86"/>
      <c r="H61" s="86"/>
      <c r="I61" s="86"/>
      <c r="J61" s="86"/>
      <c r="K61" s="86"/>
      <c r="L61" s="86"/>
      <c r="M61" s="86"/>
      <c r="N61" s="86"/>
      <c r="O61" s="86"/>
      <c r="P61" s="87"/>
      <c r="Q61" s="72">
        <f>P61*0.02</f>
        <v>0</v>
      </c>
      <c r="R61" s="72">
        <f>P61+Q61</f>
        <v>0</v>
      </c>
      <c r="S61" s="86"/>
      <c r="T61" s="86"/>
      <c r="U61" s="86"/>
      <c r="V61" s="86"/>
      <c r="W61" s="73">
        <f>G61+I61+K61+M61+O61+R61+S61+T61+U61+V61</f>
        <v>0</v>
      </c>
      <c r="X61" s="102"/>
      <c r="Y61" s="68">
        <f>X61*0.02</f>
        <v>0</v>
      </c>
      <c r="Z61" s="68">
        <f>X61+Y61</f>
        <v>0</v>
      </c>
      <c r="AA61" s="72"/>
      <c r="AB61" s="68">
        <f t="shared" si="7"/>
        <v>0</v>
      </c>
      <c r="AC61" s="68">
        <f t="shared" si="8"/>
        <v>0</v>
      </c>
      <c r="AD61" s="68"/>
      <c r="AE61" s="55"/>
      <c r="AF61" s="69">
        <f t="shared" si="5"/>
        <v>0</v>
      </c>
      <c r="AG61" s="86"/>
      <c r="AH61" s="108"/>
      <c r="AI61" s="108"/>
      <c r="AJ61" s="108"/>
      <c r="AK61" s="70">
        <f t="shared" si="6"/>
        <v>0</v>
      </c>
      <c r="AL61" s="71"/>
      <c r="AM61" s="48"/>
      <c r="AN61" s="5"/>
      <c r="AO61" s="5"/>
      <c r="AP61" s="5"/>
      <c r="AQ61" s="5"/>
      <c r="AR61" s="7"/>
      <c r="AS61" s="7"/>
      <c r="AT61" s="7"/>
      <c r="AU61" s="7"/>
      <c r="AV61" s="7"/>
      <c r="CE61" s="1"/>
    </row>
    <row r="62" spans="1:115" ht="15" customHeight="1" x14ac:dyDescent="0.3">
      <c r="A62" s="65"/>
      <c r="B62" s="109"/>
      <c r="C62" s="110"/>
      <c r="D62" s="110"/>
      <c r="E62" s="111"/>
      <c r="F62" s="85"/>
      <c r="G62" s="86"/>
      <c r="H62" s="86"/>
      <c r="I62" s="86"/>
      <c r="J62" s="86"/>
      <c r="K62" s="86"/>
      <c r="L62" s="86"/>
      <c r="M62" s="86"/>
      <c r="N62" s="86"/>
      <c r="O62" s="86"/>
      <c r="P62" s="86"/>
      <c r="Q62" s="67">
        <f t="shared" si="0"/>
        <v>0</v>
      </c>
      <c r="R62" s="67">
        <f t="shared" si="1"/>
        <v>0</v>
      </c>
      <c r="S62" s="86"/>
      <c r="T62" s="86"/>
      <c r="U62" s="86"/>
      <c r="V62" s="86"/>
      <c r="W62" s="66">
        <f t="shared" si="2"/>
        <v>0</v>
      </c>
      <c r="X62" s="98"/>
      <c r="Y62" s="68">
        <f t="shared" si="3"/>
        <v>0</v>
      </c>
      <c r="Z62" s="68">
        <f t="shared" si="4"/>
        <v>0</v>
      </c>
      <c r="AA62" s="72"/>
      <c r="AB62" s="68">
        <f t="shared" si="7"/>
        <v>0</v>
      </c>
      <c r="AC62" s="68">
        <f t="shared" si="8"/>
        <v>0</v>
      </c>
      <c r="AD62" s="68"/>
      <c r="AE62" s="55"/>
      <c r="AF62" s="69">
        <f t="shared" si="5"/>
        <v>0</v>
      </c>
      <c r="AG62" s="86"/>
      <c r="AH62" s="108"/>
      <c r="AI62" s="108"/>
      <c r="AJ62" s="108"/>
      <c r="AK62" s="70">
        <f t="shared" si="6"/>
        <v>0</v>
      </c>
      <c r="AL62" s="71"/>
      <c r="AM62" s="48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</row>
    <row r="63" spans="1:115" ht="15" customHeight="1" x14ac:dyDescent="0.3">
      <c r="A63" s="65"/>
      <c r="B63" s="109"/>
      <c r="C63" s="110"/>
      <c r="D63" s="110"/>
      <c r="E63" s="111"/>
      <c r="F63" s="85"/>
      <c r="G63" s="86"/>
      <c r="H63" s="86"/>
      <c r="I63" s="86"/>
      <c r="J63" s="86"/>
      <c r="K63" s="86"/>
      <c r="L63" s="86"/>
      <c r="M63" s="86"/>
      <c r="N63" s="86"/>
      <c r="O63" s="86"/>
      <c r="P63" s="86"/>
      <c r="Q63" s="67">
        <f t="shared" si="0"/>
        <v>0</v>
      </c>
      <c r="R63" s="67">
        <f t="shared" si="1"/>
        <v>0</v>
      </c>
      <c r="S63" s="86"/>
      <c r="T63" s="86"/>
      <c r="U63" s="86"/>
      <c r="V63" s="86"/>
      <c r="W63" s="66">
        <f t="shared" si="2"/>
        <v>0</v>
      </c>
      <c r="X63" s="98"/>
      <c r="Y63" s="68">
        <f t="shared" si="3"/>
        <v>0</v>
      </c>
      <c r="Z63" s="68">
        <f t="shared" si="4"/>
        <v>0</v>
      </c>
      <c r="AA63" s="72"/>
      <c r="AB63" s="68">
        <f t="shared" si="7"/>
        <v>0</v>
      </c>
      <c r="AC63" s="68">
        <f t="shared" si="8"/>
        <v>0</v>
      </c>
      <c r="AD63" s="68"/>
      <c r="AE63" s="55"/>
      <c r="AF63" s="69">
        <f t="shared" si="5"/>
        <v>0</v>
      </c>
      <c r="AG63" s="86"/>
      <c r="AH63" s="108"/>
      <c r="AI63" s="108"/>
      <c r="AJ63" s="108"/>
      <c r="AK63" s="70">
        <f t="shared" si="6"/>
        <v>0</v>
      </c>
      <c r="AL63" s="71"/>
      <c r="AM63" s="48"/>
      <c r="AN63" s="5"/>
      <c r="AO63" s="5"/>
      <c r="AP63" s="5"/>
      <c r="AQ63" s="5"/>
      <c r="AR63" s="7"/>
      <c r="AS63" s="7"/>
      <c r="AT63" s="7"/>
      <c r="AU63" s="7"/>
      <c r="AV63" s="7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</row>
    <row r="64" spans="1:115" ht="15" customHeight="1" x14ac:dyDescent="0.3">
      <c r="A64" s="65"/>
      <c r="B64" s="109"/>
      <c r="C64" s="110"/>
      <c r="D64" s="110"/>
      <c r="E64" s="111"/>
      <c r="F64" s="94"/>
      <c r="G64" s="86"/>
      <c r="H64" s="86"/>
      <c r="I64" s="86"/>
      <c r="J64" s="86"/>
      <c r="K64" s="86"/>
      <c r="L64" s="86"/>
      <c r="M64" s="86"/>
      <c r="N64" s="86"/>
      <c r="O64" s="86"/>
      <c r="P64" s="86"/>
      <c r="Q64" s="67">
        <f t="shared" si="0"/>
        <v>0</v>
      </c>
      <c r="R64" s="67">
        <f t="shared" si="1"/>
        <v>0</v>
      </c>
      <c r="S64" s="86"/>
      <c r="T64" s="86"/>
      <c r="U64" s="86"/>
      <c r="V64" s="86"/>
      <c r="W64" s="66">
        <f t="shared" si="2"/>
        <v>0</v>
      </c>
      <c r="X64" s="98"/>
      <c r="Y64" s="68">
        <f t="shared" si="3"/>
        <v>0</v>
      </c>
      <c r="Z64" s="68">
        <f t="shared" si="4"/>
        <v>0</v>
      </c>
      <c r="AA64" s="72"/>
      <c r="AB64" s="68">
        <f t="shared" si="7"/>
        <v>0</v>
      </c>
      <c r="AC64" s="68">
        <f t="shared" si="8"/>
        <v>0</v>
      </c>
      <c r="AD64" s="68"/>
      <c r="AE64" s="55"/>
      <c r="AF64" s="69">
        <f t="shared" si="5"/>
        <v>0</v>
      </c>
      <c r="AG64" s="86"/>
      <c r="AH64" s="108"/>
      <c r="AI64" s="108"/>
      <c r="AJ64" s="108"/>
      <c r="AK64" s="70">
        <f t="shared" si="6"/>
        <v>0</v>
      </c>
      <c r="AL64" s="71"/>
      <c r="AM64" s="48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</row>
    <row r="65" spans="1:151" s="75" customFormat="1" ht="15" customHeight="1" x14ac:dyDescent="0.3">
      <c r="A65" s="65"/>
      <c r="B65" s="109"/>
      <c r="C65" s="110"/>
      <c r="D65" s="110"/>
      <c r="E65" s="111"/>
      <c r="F65" s="85"/>
      <c r="G65" s="86"/>
      <c r="H65" s="86"/>
      <c r="I65" s="86"/>
      <c r="J65" s="86"/>
      <c r="K65" s="86"/>
      <c r="L65" s="86"/>
      <c r="M65" s="86"/>
      <c r="N65" s="86"/>
      <c r="O65" s="86"/>
      <c r="P65" s="86"/>
      <c r="Q65" s="67">
        <f t="shared" si="0"/>
        <v>0</v>
      </c>
      <c r="R65" s="67">
        <f t="shared" si="1"/>
        <v>0</v>
      </c>
      <c r="S65" s="86"/>
      <c r="T65" s="86"/>
      <c r="U65" s="86"/>
      <c r="V65" s="86"/>
      <c r="W65" s="66">
        <f t="shared" si="2"/>
        <v>0</v>
      </c>
      <c r="X65" s="98"/>
      <c r="Y65" s="68">
        <f t="shared" si="3"/>
        <v>0</v>
      </c>
      <c r="Z65" s="68">
        <f t="shared" si="4"/>
        <v>0</v>
      </c>
      <c r="AA65" s="72"/>
      <c r="AB65" s="68">
        <f t="shared" si="7"/>
        <v>0</v>
      </c>
      <c r="AC65" s="68">
        <f t="shared" si="8"/>
        <v>0</v>
      </c>
      <c r="AD65" s="68"/>
      <c r="AE65" s="55"/>
      <c r="AF65" s="69">
        <f t="shared" si="5"/>
        <v>0</v>
      </c>
      <c r="AG65" s="86"/>
      <c r="AH65" s="108"/>
      <c r="AI65" s="108"/>
      <c r="AJ65" s="108"/>
      <c r="AK65" s="70">
        <f t="shared" si="6"/>
        <v>0</v>
      </c>
      <c r="AL65" s="71"/>
      <c r="AM65" s="48"/>
      <c r="AN65" s="5"/>
      <c r="AO65" s="5"/>
      <c r="AP65" s="5"/>
      <c r="AQ65" s="5"/>
      <c r="AR65" s="7"/>
      <c r="AS65" s="7"/>
      <c r="AT65" s="7"/>
      <c r="AU65" s="7"/>
      <c r="AV65" s="7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  <c r="BR65"/>
      <c r="BS65"/>
      <c r="BT65"/>
      <c r="BU65"/>
      <c r="BV65"/>
      <c r="BW65"/>
      <c r="BX65"/>
      <c r="BY65"/>
      <c r="BZ65"/>
      <c r="CA65"/>
      <c r="CB65"/>
      <c r="CC65"/>
      <c r="CD65"/>
      <c r="CE65" s="1"/>
      <c r="CF65"/>
      <c r="CG65"/>
      <c r="CH65"/>
      <c r="CI65"/>
      <c r="CJ65"/>
      <c r="CK65"/>
      <c r="CL65"/>
      <c r="CM65"/>
      <c r="CN65"/>
      <c r="CO65"/>
      <c r="CP65"/>
      <c r="CQ65"/>
      <c r="CR65"/>
      <c r="CS65"/>
      <c r="CT65"/>
      <c r="CU65"/>
      <c r="CV65"/>
      <c r="CW65"/>
      <c r="CX65"/>
      <c r="CY65"/>
      <c r="CZ65"/>
      <c r="DA65"/>
      <c r="DB65"/>
      <c r="DC65"/>
      <c r="DD65"/>
      <c r="DE65"/>
      <c r="DF65"/>
      <c r="DG65"/>
      <c r="DH65"/>
      <c r="DI65"/>
      <c r="DJ65"/>
      <c r="DK65"/>
      <c r="DL65"/>
      <c r="DM65"/>
      <c r="DN65"/>
      <c r="DO65"/>
      <c r="DP65"/>
      <c r="DQ65"/>
      <c r="DR65"/>
      <c r="DS65"/>
      <c r="DT65"/>
      <c r="DU65"/>
      <c r="DV65"/>
      <c r="DW65"/>
      <c r="DX65"/>
      <c r="DY65"/>
      <c r="DZ65"/>
      <c r="EA65"/>
      <c r="EB65"/>
      <c r="EC65"/>
      <c r="ED65"/>
      <c r="EE65"/>
      <c r="EF65"/>
      <c r="EG65"/>
      <c r="EH65"/>
      <c r="EI65"/>
      <c r="EJ65"/>
      <c r="EK65"/>
      <c r="EL65"/>
      <c r="EM65"/>
      <c r="EN65"/>
      <c r="EO65"/>
      <c r="EP65"/>
      <c r="EQ65"/>
      <c r="ER65"/>
      <c r="ES65"/>
      <c r="ET65"/>
      <c r="EU65"/>
    </row>
    <row r="66" spans="1:151" ht="15" customHeight="1" x14ac:dyDescent="0.3">
      <c r="A66" s="65"/>
      <c r="B66" s="109"/>
      <c r="C66" s="110"/>
      <c r="D66" s="110"/>
      <c r="E66" s="111"/>
      <c r="F66" s="85"/>
      <c r="G66" s="86"/>
      <c r="H66" s="86"/>
      <c r="I66" s="86"/>
      <c r="J66" s="86"/>
      <c r="K66" s="86"/>
      <c r="L66" s="86"/>
      <c r="M66" s="86"/>
      <c r="N66" s="86"/>
      <c r="O66" s="86"/>
      <c r="P66" s="86"/>
      <c r="Q66" s="67">
        <f t="shared" si="0"/>
        <v>0</v>
      </c>
      <c r="R66" s="67">
        <f t="shared" si="1"/>
        <v>0</v>
      </c>
      <c r="S66" s="86"/>
      <c r="T66" s="86"/>
      <c r="U66" s="86"/>
      <c r="V66" s="86"/>
      <c r="W66" s="66">
        <f t="shared" si="2"/>
        <v>0</v>
      </c>
      <c r="X66" s="96"/>
      <c r="Y66" s="68">
        <f t="shared" si="3"/>
        <v>0</v>
      </c>
      <c r="Z66" s="68">
        <f t="shared" si="4"/>
        <v>0</v>
      </c>
      <c r="AA66" s="72"/>
      <c r="AB66" s="68">
        <f t="shared" si="7"/>
        <v>0</v>
      </c>
      <c r="AC66" s="68">
        <f t="shared" si="8"/>
        <v>0</v>
      </c>
      <c r="AD66" s="68"/>
      <c r="AE66" s="55"/>
      <c r="AF66" s="69">
        <f t="shared" si="5"/>
        <v>0</v>
      </c>
      <c r="AG66" s="86"/>
      <c r="AH66" s="108"/>
      <c r="AI66" s="108"/>
      <c r="AJ66" s="108"/>
      <c r="AK66" s="70">
        <f t="shared" si="6"/>
        <v>0</v>
      </c>
      <c r="AL66" s="71"/>
      <c r="AM66" s="48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</row>
    <row r="67" spans="1:151" s="42" customFormat="1" ht="15" customHeight="1" x14ac:dyDescent="0.3">
      <c r="A67" s="65"/>
      <c r="B67" s="109"/>
      <c r="C67" s="110"/>
      <c r="D67" s="110"/>
      <c r="E67" s="111"/>
      <c r="F67" s="85"/>
      <c r="G67" s="86"/>
      <c r="H67" s="86"/>
      <c r="I67" s="86"/>
      <c r="J67" s="86"/>
      <c r="K67" s="86"/>
      <c r="L67" s="86"/>
      <c r="M67" s="86"/>
      <c r="N67" s="86"/>
      <c r="O67" s="86"/>
      <c r="P67" s="86"/>
      <c r="Q67" s="67">
        <f t="shared" si="0"/>
        <v>0</v>
      </c>
      <c r="R67" s="67">
        <f t="shared" si="1"/>
        <v>0</v>
      </c>
      <c r="S67" s="86"/>
      <c r="T67" s="86"/>
      <c r="U67" s="86"/>
      <c r="V67" s="86"/>
      <c r="W67" s="66">
        <f t="shared" si="2"/>
        <v>0</v>
      </c>
      <c r="X67" s="98"/>
      <c r="Y67" s="68">
        <f t="shared" si="3"/>
        <v>0</v>
      </c>
      <c r="Z67" s="68">
        <f t="shared" si="4"/>
        <v>0</v>
      </c>
      <c r="AA67" s="72"/>
      <c r="AB67" s="68">
        <f t="shared" si="7"/>
        <v>0</v>
      </c>
      <c r="AC67" s="68">
        <f t="shared" si="8"/>
        <v>0</v>
      </c>
      <c r="AD67" s="68"/>
      <c r="AE67" s="55"/>
      <c r="AF67" s="69">
        <f t="shared" si="5"/>
        <v>0</v>
      </c>
      <c r="AG67" s="86"/>
      <c r="AH67" s="108"/>
      <c r="AI67" s="108"/>
      <c r="AJ67" s="108"/>
      <c r="AK67" s="70">
        <f t="shared" si="6"/>
        <v>0</v>
      </c>
      <c r="AL67" s="71"/>
      <c r="AM67" s="48"/>
      <c r="AN67" s="5"/>
      <c r="AO67" s="5"/>
      <c r="AP67" s="5"/>
      <c r="AQ67" s="5"/>
      <c r="AR67" s="7"/>
      <c r="AS67" s="7"/>
      <c r="AT67" s="7"/>
      <c r="AU67" s="7"/>
      <c r="AV67" s="7"/>
      <c r="AW67"/>
      <c r="AX67"/>
      <c r="AY67"/>
      <c r="AZ67"/>
      <c r="BA67"/>
      <c r="BB67"/>
      <c r="BC67"/>
      <c r="BD67"/>
      <c r="BE67"/>
      <c r="BF67"/>
      <c r="BG67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/>
      <c r="CG67"/>
      <c r="CH67"/>
      <c r="CI67"/>
      <c r="CJ67"/>
      <c r="CK67"/>
      <c r="CL67"/>
      <c r="CM67"/>
      <c r="CN67"/>
      <c r="CO67"/>
      <c r="CP67"/>
      <c r="CQ67"/>
      <c r="CR67"/>
      <c r="CS67"/>
      <c r="CT67"/>
      <c r="CU67"/>
      <c r="CV67"/>
      <c r="CW67"/>
      <c r="CX67"/>
      <c r="CY67"/>
      <c r="CZ67"/>
      <c r="DA67"/>
      <c r="DB67"/>
      <c r="DC67"/>
      <c r="DD67"/>
      <c r="DE67"/>
      <c r="DF67"/>
      <c r="DG67"/>
      <c r="DH67"/>
      <c r="DI67"/>
      <c r="DJ67"/>
      <c r="DK67"/>
      <c r="DL67"/>
      <c r="DM67"/>
      <c r="DN67"/>
      <c r="DO67"/>
      <c r="DP67"/>
      <c r="DQ67"/>
      <c r="DR67"/>
      <c r="DS67"/>
      <c r="DT67"/>
      <c r="DU67"/>
      <c r="DV67"/>
      <c r="DW67"/>
      <c r="DX67"/>
      <c r="DY67"/>
      <c r="DZ67"/>
      <c r="EA67"/>
      <c r="EB67"/>
      <c r="EC67"/>
      <c r="ED67"/>
      <c r="EE67"/>
      <c r="EF67"/>
      <c r="EG67"/>
      <c r="EH67"/>
      <c r="EI67"/>
      <c r="EJ67"/>
      <c r="EK67"/>
      <c r="EL67"/>
      <c r="EM67"/>
      <c r="EN67"/>
      <c r="EO67"/>
      <c r="EP67"/>
      <c r="EQ67"/>
      <c r="ER67"/>
      <c r="ES67"/>
      <c r="ET67"/>
      <c r="EU67"/>
    </row>
    <row r="68" spans="1:151" ht="15" customHeight="1" x14ac:dyDescent="0.3">
      <c r="A68" s="65"/>
      <c r="B68" s="109"/>
      <c r="C68" s="110"/>
      <c r="D68" s="110"/>
      <c r="E68" s="111"/>
      <c r="F68" s="85" t="s">
        <v>53</v>
      </c>
      <c r="G68" s="86"/>
      <c r="H68" s="86"/>
      <c r="I68" s="86"/>
      <c r="J68" s="86"/>
      <c r="K68" s="86"/>
      <c r="L68" s="86"/>
      <c r="M68" s="86"/>
      <c r="N68" s="86"/>
      <c r="O68" s="86"/>
      <c r="P68" s="89"/>
      <c r="Q68" s="67">
        <f t="shared" si="0"/>
        <v>0</v>
      </c>
      <c r="R68" s="67">
        <f t="shared" si="1"/>
        <v>0</v>
      </c>
      <c r="S68" s="86"/>
      <c r="T68" s="86"/>
      <c r="U68" s="86"/>
      <c r="V68" s="86"/>
      <c r="W68" s="66">
        <f t="shared" si="2"/>
        <v>0</v>
      </c>
      <c r="X68" s="97"/>
      <c r="Y68" s="68">
        <f t="shared" si="3"/>
        <v>0</v>
      </c>
      <c r="Z68" s="68">
        <f t="shared" si="4"/>
        <v>0</v>
      </c>
      <c r="AA68" s="72"/>
      <c r="AB68" s="68">
        <f t="shared" si="7"/>
        <v>0</v>
      </c>
      <c r="AC68" s="68">
        <f t="shared" si="8"/>
        <v>0</v>
      </c>
      <c r="AD68" s="68"/>
      <c r="AE68" s="55"/>
      <c r="AF68" s="69">
        <f t="shared" si="5"/>
        <v>0</v>
      </c>
      <c r="AG68" s="86"/>
      <c r="AH68" s="108"/>
      <c r="AI68" s="108"/>
      <c r="AJ68" s="108"/>
      <c r="AK68" s="70">
        <f t="shared" si="6"/>
        <v>0</v>
      </c>
      <c r="AL68" s="71"/>
      <c r="AM68" s="48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</row>
    <row r="69" spans="1:151" ht="15" customHeight="1" x14ac:dyDescent="0.3">
      <c r="A69" s="65"/>
      <c r="B69" s="109"/>
      <c r="C69" s="110"/>
      <c r="D69" s="110"/>
      <c r="E69" s="111"/>
      <c r="F69" s="95"/>
      <c r="G69" s="86"/>
      <c r="H69" s="86"/>
      <c r="I69" s="86"/>
      <c r="J69" s="86"/>
      <c r="K69" s="86"/>
      <c r="L69" s="86"/>
      <c r="M69" s="86"/>
      <c r="N69" s="86"/>
      <c r="O69" s="86"/>
      <c r="P69" s="89"/>
      <c r="Q69" s="67">
        <f t="shared" si="0"/>
        <v>0</v>
      </c>
      <c r="R69" s="67">
        <f t="shared" si="1"/>
        <v>0</v>
      </c>
      <c r="S69" s="86"/>
      <c r="T69" s="86"/>
      <c r="U69" s="86"/>
      <c r="V69" s="86"/>
      <c r="W69" s="66">
        <f t="shared" si="2"/>
        <v>0</v>
      </c>
      <c r="X69" s="97"/>
      <c r="Y69" s="68">
        <f t="shared" si="3"/>
        <v>0</v>
      </c>
      <c r="Z69" s="68">
        <f t="shared" si="4"/>
        <v>0</v>
      </c>
      <c r="AA69" s="72"/>
      <c r="AB69" s="68">
        <f t="shared" si="7"/>
        <v>0</v>
      </c>
      <c r="AC69" s="68">
        <f t="shared" si="8"/>
        <v>0</v>
      </c>
      <c r="AD69" s="68"/>
      <c r="AE69" s="55"/>
      <c r="AF69" s="69">
        <f t="shared" si="5"/>
        <v>0</v>
      </c>
      <c r="AG69" s="86"/>
      <c r="AH69" s="108"/>
      <c r="AI69" s="108"/>
      <c r="AJ69" s="108"/>
      <c r="AK69" s="70">
        <f t="shared" si="6"/>
        <v>0</v>
      </c>
      <c r="AL69" s="71"/>
      <c r="AM69" s="48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</row>
    <row r="70" spans="1:151" ht="15" customHeight="1" x14ac:dyDescent="0.3">
      <c r="A70" s="65"/>
      <c r="B70" s="109"/>
      <c r="C70" s="110"/>
      <c r="D70" s="110"/>
      <c r="E70" s="111"/>
      <c r="F70" s="95"/>
      <c r="G70" s="86"/>
      <c r="H70" s="86"/>
      <c r="I70" s="86"/>
      <c r="J70" s="86"/>
      <c r="K70" s="86"/>
      <c r="L70" s="86"/>
      <c r="M70" s="86"/>
      <c r="N70" s="86"/>
      <c r="O70" s="86"/>
      <c r="P70" s="89"/>
      <c r="Q70" s="67">
        <f t="shared" si="0"/>
        <v>0</v>
      </c>
      <c r="R70" s="67">
        <f t="shared" si="1"/>
        <v>0</v>
      </c>
      <c r="S70" s="86"/>
      <c r="T70" s="86"/>
      <c r="U70" s="86"/>
      <c r="V70" s="86"/>
      <c r="W70" s="66">
        <f t="shared" si="2"/>
        <v>0</v>
      </c>
      <c r="X70" s="97"/>
      <c r="Y70" s="68">
        <f t="shared" si="3"/>
        <v>0</v>
      </c>
      <c r="Z70" s="68">
        <f t="shared" si="4"/>
        <v>0</v>
      </c>
      <c r="AA70" s="72"/>
      <c r="AB70" s="68">
        <f t="shared" si="7"/>
        <v>0</v>
      </c>
      <c r="AC70" s="68">
        <f t="shared" si="8"/>
        <v>0</v>
      </c>
      <c r="AD70" s="68"/>
      <c r="AE70" s="55"/>
      <c r="AF70" s="69">
        <f t="shared" si="5"/>
        <v>0</v>
      </c>
      <c r="AG70" s="86"/>
      <c r="AH70" s="108"/>
      <c r="AI70" s="108"/>
      <c r="AJ70" s="108"/>
      <c r="AK70" s="70">
        <f t="shared" si="6"/>
        <v>0</v>
      </c>
      <c r="AL70" s="71"/>
      <c r="AM70" s="48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</row>
    <row r="71" spans="1:151" ht="15" customHeight="1" x14ac:dyDescent="0.3">
      <c r="A71" s="65"/>
      <c r="B71" s="109"/>
      <c r="C71" s="110"/>
      <c r="D71" s="110"/>
      <c r="E71" s="111"/>
      <c r="F71" s="95"/>
      <c r="G71" s="86"/>
      <c r="H71" s="86"/>
      <c r="I71" s="86"/>
      <c r="J71" s="86"/>
      <c r="K71" s="86"/>
      <c r="L71" s="86"/>
      <c r="M71" s="86"/>
      <c r="N71" s="86"/>
      <c r="O71" s="86"/>
      <c r="P71" s="89"/>
      <c r="Q71" s="67">
        <f t="shared" ref="Q71:Q75" si="9">P71*0.02</f>
        <v>0</v>
      </c>
      <c r="R71" s="67">
        <f t="shared" ref="R71:R75" si="10">P71+Q71</f>
        <v>0</v>
      </c>
      <c r="S71" s="86"/>
      <c r="T71" s="86"/>
      <c r="U71" s="86"/>
      <c r="V71" s="86"/>
      <c r="W71" s="66">
        <f t="shared" ref="W71:W75" si="11">G71+I71+K71+M71+O71+R71+S71+T71+U71+V71</f>
        <v>0</v>
      </c>
      <c r="X71" s="97"/>
      <c r="Y71" s="68">
        <f t="shared" ref="Y71:Y75" si="12">X71*0.02</f>
        <v>0</v>
      </c>
      <c r="Z71" s="68">
        <f t="shared" ref="Z71:Z75" si="13">X71+Y71</f>
        <v>0</v>
      </c>
      <c r="AA71" s="72"/>
      <c r="AB71" s="68">
        <f t="shared" si="7"/>
        <v>0</v>
      </c>
      <c r="AC71" s="68">
        <f t="shared" si="8"/>
        <v>0</v>
      </c>
      <c r="AD71" s="68"/>
      <c r="AE71" s="55"/>
      <c r="AF71" s="69">
        <f t="shared" si="5"/>
        <v>0</v>
      </c>
      <c r="AG71" s="86"/>
      <c r="AH71" s="108"/>
      <c r="AI71" s="108"/>
      <c r="AJ71" s="108"/>
      <c r="AK71" s="70">
        <f t="shared" ref="AK71:AK136" si="14">AF71-AG71-AH71-AI71-AJ71</f>
        <v>0</v>
      </c>
      <c r="AL71" s="71"/>
      <c r="AM71" s="48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</row>
    <row r="72" spans="1:151" ht="15" customHeight="1" x14ac:dyDescent="0.3">
      <c r="A72" s="65"/>
      <c r="B72" s="109"/>
      <c r="C72" s="110"/>
      <c r="D72" s="110"/>
      <c r="E72" s="111"/>
      <c r="F72" s="95"/>
      <c r="G72" s="86"/>
      <c r="H72" s="86"/>
      <c r="I72" s="86"/>
      <c r="J72" s="86"/>
      <c r="K72" s="86"/>
      <c r="L72" s="86"/>
      <c r="M72" s="86"/>
      <c r="N72" s="86"/>
      <c r="O72" s="86"/>
      <c r="P72" s="89"/>
      <c r="Q72" s="67">
        <f t="shared" si="9"/>
        <v>0</v>
      </c>
      <c r="R72" s="67">
        <f t="shared" si="10"/>
        <v>0</v>
      </c>
      <c r="S72" s="86"/>
      <c r="T72" s="86"/>
      <c r="U72" s="86"/>
      <c r="V72" s="86"/>
      <c r="W72" s="66">
        <f t="shared" si="11"/>
        <v>0</v>
      </c>
      <c r="X72" s="97"/>
      <c r="Y72" s="68">
        <f t="shared" si="12"/>
        <v>0</v>
      </c>
      <c r="Z72" s="68">
        <f t="shared" si="13"/>
        <v>0</v>
      </c>
      <c r="AA72" s="72"/>
      <c r="AB72" s="68">
        <f t="shared" si="7"/>
        <v>0</v>
      </c>
      <c r="AC72" s="68">
        <f t="shared" si="8"/>
        <v>0</v>
      </c>
      <c r="AD72" s="68"/>
      <c r="AE72" s="55"/>
      <c r="AF72" s="69">
        <f t="shared" si="5"/>
        <v>0</v>
      </c>
      <c r="AG72" s="86"/>
      <c r="AH72" s="108"/>
      <c r="AI72" s="108"/>
      <c r="AJ72" s="108"/>
      <c r="AK72" s="70">
        <f t="shared" si="14"/>
        <v>0</v>
      </c>
      <c r="AL72" s="71"/>
      <c r="AM72" s="48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</row>
    <row r="73" spans="1:151" ht="15" customHeight="1" thickBot="1" x14ac:dyDescent="0.35">
      <c r="A73" s="65"/>
      <c r="B73" s="109"/>
      <c r="C73" s="110"/>
      <c r="D73" s="110"/>
      <c r="E73" s="111"/>
      <c r="F73" s="95"/>
      <c r="G73" s="86"/>
      <c r="H73" s="86"/>
      <c r="I73" s="86"/>
      <c r="J73" s="86"/>
      <c r="K73" s="86"/>
      <c r="L73" s="86"/>
      <c r="M73" s="86"/>
      <c r="N73" s="86"/>
      <c r="O73" s="86"/>
      <c r="P73" s="89"/>
      <c r="Q73" s="67">
        <f t="shared" si="9"/>
        <v>0</v>
      </c>
      <c r="R73" s="67">
        <f t="shared" si="10"/>
        <v>0</v>
      </c>
      <c r="S73" s="86"/>
      <c r="T73" s="86"/>
      <c r="U73" s="86"/>
      <c r="V73" s="86"/>
      <c r="W73" s="66">
        <f t="shared" si="11"/>
        <v>0</v>
      </c>
      <c r="X73" s="97"/>
      <c r="Y73" s="68">
        <f t="shared" si="12"/>
        <v>0</v>
      </c>
      <c r="Z73" s="68">
        <f t="shared" si="13"/>
        <v>0</v>
      </c>
      <c r="AA73" s="72"/>
      <c r="AB73" s="68">
        <f t="shared" si="7"/>
        <v>0</v>
      </c>
      <c r="AC73" s="68">
        <f t="shared" si="8"/>
        <v>0</v>
      </c>
      <c r="AD73" s="68"/>
      <c r="AE73" s="55"/>
      <c r="AF73" s="69">
        <f t="shared" si="5"/>
        <v>0</v>
      </c>
      <c r="AG73" s="86"/>
      <c r="AH73" s="108"/>
      <c r="AI73" s="108"/>
      <c r="AJ73" s="108"/>
      <c r="AK73" s="70">
        <f t="shared" si="14"/>
        <v>0</v>
      </c>
      <c r="AL73" s="71"/>
      <c r="AM73" s="48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</row>
    <row r="74" spans="1:151" ht="15" customHeight="1" thickBot="1" x14ac:dyDescent="0.35">
      <c r="A74" s="76" t="s">
        <v>54</v>
      </c>
      <c r="B74" s="77"/>
      <c r="C74" s="78"/>
      <c r="D74" s="77"/>
      <c r="E74" s="79"/>
      <c r="F74" s="80"/>
      <c r="G74" s="81">
        <f>SUM(G7:G73)</f>
        <v>0</v>
      </c>
      <c r="H74" s="81"/>
      <c r="I74" s="81">
        <f t="shared" ref="I74:AK74" si="15">SUM(I7:I73)</f>
        <v>0</v>
      </c>
      <c r="J74" s="81">
        <f t="shared" si="15"/>
        <v>0</v>
      </c>
      <c r="K74" s="81">
        <f t="shared" si="15"/>
        <v>0</v>
      </c>
      <c r="L74" s="81">
        <f t="shared" si="15"/>
        <v>0</v>
      </c>
      <c r="M74" s="81">
        <f t="shared" si="15"/>
        <v>0</v>
      </c>
      <c r="N74" s="81">
        <f t="shared" si="15"/>
        <v>0</v>
      </c>
      <c r="O74" s="81">
        <f t="shared" si="15"/>
        <v>0</v>
      </c>
      <c r="P74" s="81">
        <f t="shared" si="15"/>
        <v>0</v>
      </c>
      <c r="Q74" s="81">
        <f t="shared" si="15"/>
        <v>0</v>
      </c>
      <c r="R74" s="81">
        <f t="shared" si="15"/>
        <v>0</v>
      </c>
      <c r="S74" s="81">
        <f t="shared" si="15"/>
        <v>0</v>
      </c>
      <c r="T74" s="81">
        <f t="shared" si="15"/>
        <v>0</v>
      </c>
      <c r="U74" s="81">
        <f t="shared" si="15"/>
        <v>0</v>
      </c>
      <c r="V74" s="81">
        <f t="shared" si="15"/>
        <v>0</v>
      </c>
      <c r="W74" s="81">
        <f t="shared" si="15"/>
        <v>0</v>
      </c>
      <c r="X74" s="81">
        <f t="shared" si="15"/>
        <v>0</v>
      </c>
      <c r="Y74" s="81">
        <f t="shared" si="15"/>
        <v>0</v>
      </c>
      <c r="Z74" s="81">
        <f t="shared" si="15"/>
        <v>0</v>
      </c>
      <c r="AA74" s="81">
        <f t="shared" si="15"/>
        <v>0</v>
      </c>
      <c r="AB74" s="81">
        <f t="shared" si="15"/>
        <v>0</v>
      </c>
      <c r="AC74" s="81">
        <f t="shared" si="15"/>
        <v>0</v>
      </c>
      <c r="AD74" s="81">
        <f t="shared" si="15"/>
        <v>0</v>
      </c>
      <c r="AE74" s="81">
        <f t="shared" si="15"/>
        <v>0</v>
      </c>
      <c r="AF74" s="81">
        <f t="shared" si="15"/>
        <v>0</v>
      </c>
      <c r="AG74" s="81">
        <f t="shared" si="15"/>
        <v>0</v>
      </c>
      <c r="AH74" s="81">
        <f t="shared" si="15"/>
        <v>0</v>
      </c>
      <c r="AI74" s="81">
        <f t="shared" si="15"/>
        <v>0</v>
      </c>
      <c r="AJ74" s="81">
        <f t="shared" si="15"/>
        <v>0</v>
      </c>
      <c r="AK74" s="81">
        <f t="shared" si="15"/>
        <v>0</v>
      </c>
      <c r="AL74" s="82" t="s">
        <v>54</v>
      </c>
      <c r="AM74" s="83"/>
      <c r="AN74" s="5"/>
      <c r="AO74" s="5"/>
      <c r="AP74" s="5"/>
      <c r="AQ74" s="5"/>
      <c r="AR74" s="7"/>
      <c r="AS74" s="7"/>
      <c r="AT74" s="7"/>
      <c r="AU74" s="7"/>
      <c r="AV74" s="7"/>
      <c r="CE74" s="1"/>
    </row>
    <row r="75" spans="1:151" x14ac:dyDescent="0.3">
      <c r="AG75" s="84"/>
    </row>
    <row r="76" spans="1:151" x14ac:dyDescent="0.3">
      <c r="AG76" s="84"/>
    </row>
    <row r="77" spans="1:151" x14ac:dyDescent="0.3">
      <c r="AG77" s="84"/>
    </row>
    <row r="78" spans="1:151" x14ac:dyDescent="0.3">
      <c r="AG78" s="84"/>
    </row>
    <row r="79" spans="1:151" x14ac:dyDescent="0.3">
      <c r="AG79" s="84"/>
    </row>
    <row r="80" spans="1:151" x14ac:dyDescent="0.3">
      <c r="AG80" s="84"/>
    </row>
    <row r="81" spans="33:33" x14ac:dyDescent="0.3">
      <c r="AG81" s="84"/>
    </row>
    <row r="82" spans="33:33" x14ac:dyDescent="0.3">
      <c r="AG82" s="84"/>
    </row>
    <row r="83" spans="33:33" x14ac:dyDescent="0.3">
      <c r="AG83" s="84"/>
    </row>
    <row r="84" spans="33:33" x14ac:dyDescent="0.3">
      <c r="AG84" s="84"/>
    </row>
    <row r="85" spans="33:33" x14ac:dyDescent="0.3">
      <c r="AG85" s="84"/>
    </row>
    <row r="86" spans="33:33" x14ac:dyDescent="0.3">
      <c r="AG86" s="84"/>
    </row>
    <row r="87" spans="33:33" x14ac:dyDescent="0.3">
      <c r="AG87" s="84"/>
    </row>
    <row r="88" spans="33:33" x14ac:dyDescent="0.3">
      <c r="AG88" s="84"/>
    </row>
    <row r="89" spans="33:33" x14ac:dyDescent="0.3">
      <c r="AG89" s="84"/>
    </row>
    <row r="90" spans="33:33" x14ac:dyDescent="0.3">
      <c r="AG90" s="84"/>
    </row>
    <row r="91" spans="33:33" x14ac:dyDescent="0.3">
      <c r="AG91" s="84"/>
    </row>
    <row r="92" spans="33:33" x14ac:dyDescent="0.3">
      <c r="AG92" s="84"/>
    </row>
    <row r="93" spans="33:33" x14ac:dyDescent="0.3">
      <c r="AG93" s="84"/>
    </row>
    <row r="94" spans="33:33" x14ac:dyDescent="0.3">
      <c r="AG94" s="84"/>
    </row>
    <row r="95" spans="33:33" x14ac:dyDescent="0.3">
      <c r="AG95" s="84"/>
    </row>
    <row r="96" spans="33:33" x14ac:dyDescent="0.3">
      <c r="AG96" s="84"/>
    </row>
    <row r="97" spans="33:33" x14ac:dyDescent="0.3">
      <c r="AG97" s="84"/>
    </row>
    <row r="98" spans="33:33" x14ac:dyDescent="0.3">
      <c r="AG98" s="84"/>
    </row>
    <row r="99" spans="33:33" x14ac:dyDescent="0.3">
      <c r="AG99" s="84"/>
    </row>
    <row r="100" spans="33:33" x14ac:dyDescent="0.3">
      <c r="AG100" s="84"/>
    </row>
    <row r="101" spans="33:33" x14ac:dyDescent="0.3">
      <c r="AG101" s="84"/>
    </row>
    <row r="102" spans="33:33" x14ac:dyDescent="0.3">
      <c r="AG102" s="84"/>
    </row>
    <row r="103" spans="33:33" x14ac:dyDescent="0.3">
      <c r="AG103" s="84"/>
    </row>
    <row r="104" spans="33:33" x14ac:dyDescent="0.3">
      <c r="AG104" s="84"/>
    </row>
    <row r="105" spans="33:33" x14ac:dyDescent="0.3">
      <c r="AG105" s="84"/>
    </row>
    <row r="106" spans="33:33" x14ac:dyDescent="0.3">
      <c r="AG106" s="84"/>
    </row>
    <row r="107" spans="33:33" x14ac:dyDescent="0.3">
      <c r="AG107" s="84"/>
    </row>
    <row r="108" spans="33:33" x14ac:dyDescent="0.3">
      <c r="AG108" s="84"/>
    </row>
    <row r="109" spans="33:33" x14ac:dyDescent="0.3">
      <c r="AG109" s="84"/>
    </row>
    <row r="110" spans="33:33" x14ac:dyDescent="0.3">
      <c r="AG110" s="84"/>
    </row>
    <row r="111" spans="33:33" x14ac:dyDescent="0.3">
      <c r="AG111" s="84"/>
    </row>
    <row r="112" spans="33:33" x14ac:dyDescent="0.3">
      <c r="AG112" s="84"/>
    </row>
    <row r="113" spans="33:33" x14ac:dyDescent="0.3">
      <c r="AG113" s="84"/>
    </row>
    <row r="114" spans="33:33" x14ac:dyDescent="0.3">
      <c r="AG114" s="84"/>
    </row>
    <row r="115" spans="33:33" x14ac:dyDescent="0.3">
      <c r="AG115" s="84"/>
    </row>
    <row r="116" spans="33:33" x14ac:dyDescent="0.3">
      <c r="AG116" s="84"/>
    </row>
    <row r="117" spans="33:33" x14ac:dyDescent="0.3">
      <c r="AG117" s="84"/>
    </row>
    <row r="118" spans="33:33" x14ac:dyDescent="0.3">
      <c r="AG118" s="84"/>
    </row>
    <row r="119" spans="33:33" x14ac:dyDescent="0.3">
      <c r="AG119" s="84"/>
    </row>
    <row r="120" spans="33:33" x14ac:dyDescent="0.3">
      <c r="AG120" s="84"/>
    </row>
    <row r="121" spans="33:33" x14ac:dyDescent="0.3">
      <c r="AG121" s="84"/>
    </row>
    <row r="122" spans="33:33" x14ac:dyDescent="0.3">
      <c r="AG122" s="84"/>
    </row>
    <row r="123" spans="33:33" x14ac:dyDescent="0.3">
      <c r="AG123" s="84"/>
    </row>
    <row r="124" spans="33:33" x14ac:dyDescent="0.3">
      <c r="AG124" s="84"/>
    </row>
    <row r="125" spans="33:33" x14ac:dyDescent="0.3">
      <c r="AG125" s="84"/>
    </row>
    <row r="126" spans="33:33" x14ac:dyDescent="0.3">
      <c r="AG126" s="84"/>
    </row>
    <row r="127" spans="33:33" x14ac:dyDescent="0.3">
      <c r="AG127" s="84"/>
    </row>
    <row r="128" spans="33:33" x14ac:dyDescent="0.3">
      <c r="AG128" s="84"/>
    </row>
    <row r="129" spans="33:33" x14ac:dyDescent="0.3">
      <c r="AG129" s="84"/>
    </row>
    <row r="130" spans="33:33" x14ac:dyDescent="0.3">
      <c r="AG130" s="84"/>
    </row>
    <row r="131" spans="33:33" x14ac:dyDescent="0.3">
      <c r="AG131" s="84"/>
    </row>
    <row r="132" spans="33:33" x14ac:dyDescent="0.3">
      <c r="AG132" s="84"/>
    </row>
    <row r="133" spans="33:33" x14ac:dyDescent="0.3">
      <c r="AG133" s="84"/>
    </row>
    <row r="134" spans="33:33" x14ac:dyDescent="0.3">
      <c r="AG134" s="84"/>
    </row>
    <row r="135" spans="33:33" x14ac:dyDescent="0.3">
      <c r="AG135" s="84"/>
    </row>
    <row r="136" spans="33:33" x14ac:dyDescent="0.3">
      <c r="AG136" s="84"/>
    </row>
    <row r="137" spans="33:33" x14ac:dyDescent="0.3">
      <c r="AG137" s="84"/>
    </row>
    <row r="138" spans="33:33" x14ac:dyDescent="0.3">
      <c r="AG138" s="84"/>
    </row>
    <row r="139" spans="33:33" x14ac:dyDescent="0.3">
      <c r="AG139" s="84"/>
    </row>
    <row r="140" spans="33:33" x14ac:dyDescent="0.3">
      <c r="AG140" s="84"/>
    </row>
    <row r="141" spans="33:33" x14ac:dyDescent="0.3">
      <c r="AG141" s="84"/>
    </row>
    <row r="142" spans="33:33" x14ac:dyDescent="0.3">
      <c r="AG142" s="84"/>
    </row>
    <row r="143" spans="33:33" x14ac:dyDescent="0.3">
      <c r="AG143" s="84"/>
    </row>
    <row r="144" spans="33:33" x14ac:dyDescent="0.3">
      <c r="AG144" s="84"/>
    </row>
    <row r="145" spans="33:33" x14ac:dyDescent="0.3">
      <c r="AG145" s="84"/>
    </row>
    <row r="146" spans="33:33" x14ac:dyDescent="0.3">
      <c r="AG146" s="84"/>
    </row>
    <row r="147" spans="33:33" x14ac:dyDescent="0.3">
      <c r="AG147" s="84"/>
    </row>
    <row r="148" spans="33:33" x14ac:dyDescent="0.3">
      <c r="AG148" s="84"/>
    </row>
    <row r="149" spans="33:33" x14ac:dyDescent="0.3">
      <c r="AG149" s="84"/>
    </row>
    <row r="150" spans="33:33" x14ac:dyDescent="0.3">
      <c r="AG150" s="84"/>
    </row>
    <row r="151" spans="33:33" x14ac:dyDescent="0.3">
      <c r="AG151" s="84"/>
    </row>
    <row r="152" spans="33:33" x14ac:dyDescent="0.3">
      <c r="AG152" s="84"/>
    </row>
    <row r="153" spans="33:33" x14ac:dyDescent="0.3">
      <c r="AG153" s="84"/>
    </row>
    <row r="154" spans="33:33" x14ac:dyDescent="0.3">
      <c r="AG154" s="84"/>
    </row>
    <row r="155" spans="33:33" x14ac:dyDescent="0.3">
      <c r="AG155" s="84"/>
    </row>
    <row r="156" spans="33:33" x14ac:dyDescent="0.3">
      <c r="AG156" s="84"/>
    </row>
    <row r="157" spans="33:33" x14ac:dyDescent="0.3">
      <c r="AG157" s="84"/>
    </row>
    <row r="158" spans="33:33" x14ac:dyDescent="0.3">
      <c r="AG158" s="84"/>
    </row>
    <row r="159" spans="33:33" x14ac:dyDescent="0.3">
      <c r="AG159" s="84"/>
    </row>
    <row r="160" spans="33:33" x14ac:dyDescent="0.3">
      <c r="AG160" s="84"/>
    </row>
    <row r="161" spans="33:33" x14ac:dyDescent="0.3">
      <c r="AG161" s="84"/>
    </row>
    <row r="162" spans="33:33" x14ac:dyDescent="0.3">
      <c r="AG162" s="84"/>
    </row>
    <row r="163" spans="33:33" x14ac:dyDescent="0.3">
      <c r="AG163" s="84"/>
    </row>
    <row r="164" spans="33:33" x14ac:dyDescent="0.3">
      <c r="AG164" s="84"/>
    </row>
    <row r="165" spans="33:33" x14ac:dyDescent="0.3">
      <c r="AG165" s="84"/>
    </row>
    <row r="166" spans="33:33" x14ac:dyDescent="0.3">
      <c r="AG166" s="84"/>
    </row>
    <row r="167" spans="33:33" x14ac:dyDescent="0.3">
      <c r="AG167" s="84"/>
    </row>
    <row r="168" spans="33:33" x14ac:dyDescent="0.3">
      <c r="AG168" s="84"/>
    </row>
    <row r="169" spans="33:33" x14ac:dyDescent="0.3">
      <c r="AG169" s="84"/>
    </row>
    <row r="170" spans="33:33" x14ac:dyDescent="0.3">
      <c r="AG170" s="84"/>
    </row>
    <row r="171" spans="33:33" x14ac:dyDescent="0.3">
      <c r="AG171" s="84"/>
    </row>
    <row r="172" spans="33:33" x14ac:dyDescent="0.3">
      <c r="AG172" s="84"/>
    </row>
    <row r="173" spans="33:33" x14ac:dyDescent="0.3">
      <c r="AG173" s="84"/>
    </row>
    <row r="174" spans="33:33" x14ac:dyDescent="0.3">
      <c r="AG174" s="84"/>
    </row>
    <row r="175" spans="33:33" x14ac:dyDescent="0.3">
      <c r="AG175" s="84"/>
    </row>
    <row r="176" spans="33:33" x14ac:dyDescent="0.3">
      <c r="AG176" s="84"/>
    </row>
    <row r="177" spans="33:33" x14ac:dyDescent="0.3">
      <c r="AG177" s="84"/>
    </row>
    <row r="178" spans="33:33" x14ac:dyDescent="0.3">
      <c r="AG178" s="84"/>
    </row>
    <row r="179" spans="33:33" x14ac:dyDescent="0.3">
      <c r="AG179" s="84"/>
    </row>
    <row r="180" spans="33:33" x14ac:dyDescent="0.3">
      <c r="AG180" s="84"/>
    </row>
    <row r="181" spans="33:33" x14ac:dyDescent="0.3">
      <c r="AG181" s="84"/>
    </row>
    <row r="182" spans="33:33" x14ac:dyDescent="0.3">
      <c r="AG182" s="84"/>
    </row>
    <row r="183" spans="33:33" x14ac:dyDescent="0.3">
      <c r="AG183" s="84"/>
    </row>
    <row r="184" spans="33:33" x14ac:dyDescent="0.3">
      <c r="AG184" s="84"/>
    </row>
    <row r="185" spans="33:33" x14ac:dyDescent="0.3">
      <c r="AG185" s="84"/>
    </row>
    <row r="186" spans="33:33" x14ac:dyDescent="0.3">
      <c r="AG186" s="84"/>
    </row>
    <row r="187" spans="33:33" x14ac:dyDescent="0.3">
      <c r="AG187" s="84"/>
    </row>
    <row r="188" spans="33:33" x14ac:dyDescent="0.3">
      <c r="AG188" s="84"/>
    </row>
    <row r="189" spans="33:33" x14ac:dyDescent="0.3">
      <c r="AG189" s="84"/>
    </row>
    <row r="190" spans="33:33" x14ac:dyDescent="0.3">
      <c r="AG190" s="84"/>
    </row>
    <row r="191" spans="33:33" x14ac:dyDescent="0.3">
      <c r="AG191" s="84"/>
    </row>
    <row r="192" spans="33:33" x14ac:dyDescent="0.3">
      <c r="AG192" s="84"/>
    </row>
    <row r="193" spans="33:33" x14ac:dyDescent="0.3">
      <c r="AG193" s="84"/>
    </row>
    <row r="194" spans="33:33" x14ac:dyDescent="0.3">
      <c r="AG194" s="84"/>
    </row>
    <row r="195" spans="33:33" x14ac:dyDescent="0.3">
      <c r="AG195" s="84"/>
    </row>
    <row r="196" spans="33:33" x14ac:dyDescent="0.3">
      <c r="AG196" s="84"/>
    </row>
    <row r="197" spans="33:33" x14ac:dyDescent="0.3">
      <c r="AG197" s="84"/>
    </row>
    <row r="198" spans="33:33" x14ac:dyDescent="0.3">
      <c r="AG198" s="84"/>
    </row>
    <row r="199" spans="33:33" x14ac:dyDescent="0.3">
      <c r="AG199" s="84"/>
    </row>
    <row r="200" spans="33:33" x14ac:dyDescent="0.3">
      <c r="AG200" s="84"/>
    </row>
    <row r="201" spans="33:33" x14ac:dyDescent="0.3">
      <c r="AG201" s="84"/>
    </row>
    <row r="202" spans="33:33" x14ac:dyDescent="0.3">
      <c r="AG202" s="84"/>
    </row>
    <row r="203" spans="33:33" x14ac:dyDescent="0.3">
      <c r="AG203" s="84"/>
    </row>
    <row r="204" spans="33:33" x14ac:dyDescent="0.3">
      <c r="AG204" s="84"/>
    </row>
    <row r="205" spans="33:33" x14ac:dyDescent="0.3">
      <c r="AG205" s="84"/>
    </row>
    <row r="206" spans="33:33" x14ac:dyDescent="0.3">
      <c r="AG206" s="84"/>
    </row>
    <row r="207" spans="33:33" x14ac:dyDescent="0.3">
      <c r="AG207" s="84"/>
    </row>
    <row r="208" spans="33:33" x14ac:dyDescent="0.3">
      <c r="AG208" s="84"/>
    </row>
    <row r="209" spans="33:33" x14ac:dyDescent="0.3">
      <c r="AG209" s="84"/>
    </row>
    <row r="210" spans="33:33" x14ac:dyDescent="0.3">
      <c r="AG210" s="84"/>
    </row>
    <row r="211" spans="33:33" x14ac:dyDescent="0.3">
      <c r="AG211" s="84"/>
    </row>
    <row r="212" spans="33:33" x14ac:dyDescent="0.3">
      <c r="AG212" s="84"/>
    </row>
    <row r="213" spans="33:33" x14ac:dyDescent="0.3">
      <c r="AG213" s="84"/>
    </row>
    <row r="214" spans="33:33" x14ac:dyDescent="0.3">
      <c r="AG214" s="84"/>
    </row>
    <row r="215" spans="33:33" x14ac:dyDescent="0.3">
      <c r="AG215" s="84"/>
    </row>
    <row r="216" spans="33:33" x14ac:dyDescent="0.3">
      <c r="AG216" s="84"/>
    </row>
    <row r="217" spans="33:33" x14ac:dyDescent="0.3">
      <c r="AG217" s="84"/>
    </row>
    <row r="218" spans="33:33" x14ac:dyDescent="0.3">
      <c r="AG218" s="84"/>
    </row>
    <row r="219" spans="33:33" x14ac:dyDescent="0.3">
      <c r="AG219" s="84"/>
    </row>
    <row r="220" spans="33:33" x14ac:dyDescent="0.3">
      <c r="AG220" s="84"/>
    </row>
    <row r="221" spans="33:33" x14ac:dyDescent="0.3">
      <c r="AG221" s="84"/>
    </row>
    <row r="222" spans="33:33" x14ac:dyDescent="0.3">
      <c r="AG222" s="84"/>
    </row>
    <row r="223" spans="33:33" x14ac:dyDescent="0.3">
      <c r="AG223" s="84"/>
    </row>
    <row r="224" spans="33:33" x14ac:dyDescent="0.3">
      <c r="AG224" s="84"/>
    </row>
    <row r="225" spans="33:33" x14ac:dyDescent="0.3">
      <c r="AG225" s="84"/>
    </row>
    <row r="226" spans="33:33" x14ac:dyDescent="0.3">
      <c r="AG226" s="84"/>
    </row>
    <row r="227" spans="33:33" x14ac:dyDescent="0.3">
      <c r="AG227" s="84"/>
    </row>
    <row r="228" spans="33:33" x14ac:dyDescent="0.3">
      <c r="AG228" s="84"/>
    </row>
    <row r="229" spans="33:33" x14ac:dyDescent="0.3">
      <c r="AG229" s="84"/>
    </row>
    <row r="230" spans="33:33" x14ac:dyDescent="0.3">
      <c r="AG230" s="84"/>
    </row>
    <row r="231" spans="33:33" x14ac:dyDescent="0.3">
      <c r="AG231" s="84"/>
    </row>
    <row r="232" spans="33:33" x14ac:dyDescent="0.3">
      <c r="AG232" s="84"/>
    </row>
    <row r="233" spans="33:33" x14ac:dyDescent="0.3">
      <c r="AG233" s="84"/>
    </row>
    <row r="234" spans="33:33" x14ac:dyDescent="0.3">
      <c r="AG234" s="84"/>
    </row>
    <row r="235" spans="33:33" x14ac:dyDescent="0.3">
      <c r="AG235" s="84"/>
    </row>
    <row r="236" spans="33:33" x14ac:dyDescent="0.3">
      <c r="AG236" s="84"/>
    </row>
    <row r="237" spans="33:33" x14ac:dyDescent="0.3">
      <c r="AG237" s="84"/>
    </row>
    <row r="238" spans="33:33" x14ac:dyDescent="0.3">
      <c r="AG238" s="84"/>
    </row>
    <row r="239" spans="33:33" x14ac:dyDescent="0.3">
      <c r="AG239" s="84"/>
    </row>
    <row r="240" spans="33:33" x14ac:dyDescent="0.3">
      <c r="AG240" s="84"/>
    </row>
    <row r="241" spans="33:33" x14ac:dyDescent="0.3">
      <c r="AG241" s="84"/>
    </row>
    <row r="242" spans="33:33" x14ac:dyDescent="0.3">
      <c r="AG242" s="84"/>
    </row>
    <row r="243" spans="33:33" x14ac:dyDescent="0.3">
      <c r="AG243" s="84"/>
    </row>
    <row r="244" spans="33:33" x14ac:dyDescent="0.3">
      <c r="AG244" s="84"/>
    </row>
    <row r="245" spans="33:33" x14ac:dyDescent="0.3">
      <c r="AG245" s="84"/>
    </row>
    <row r="246" spans="33:33" x14ac:dyDescent="0.3">
      <c r="AG246" s="84"/>
    </row>
    <row r="247" spans="33:33" x14ac:dyDescent="0.3">
      <c r="AG247" s="84"/>
    </row>
    <row r="248" spans="33:33" x14ac:dyDescent="0.3">
      <c r="AG248" s="84"/>
    </row>
    <row r="249" spans="33:33" x14ac:dyDescent="0.3">
      <c r="AG249" s="84"/>
    </row>
    <row r="250" spans="33:33" x14ac:dyDescent="0.3">
      <c r="AG250" s="84"/>
    </row>
    <row r="251" spans="33:33" x14ac:dyDescent="0.3">
      <c r="AG251" s="84"/>
    </row>
    <row r="252" spans="33:33" x14ac:dyDescent="0.3">
      <c r="AG252" s="84"/>
    </row>
    <row r="253" spans="33:33" x14ac:dyDescent="0.3">
      <c r="AG253" s="84"/>
    </row>
    <row r="254" spans="33:33" x14ac:dyDescent="0.3">
      <c r="AG254" s="84"/>
    </row>
    <row r="255" spans="33:33" x14ac:dyDescent="0.3">
      <c r="AG255" s="84"/>
    </row>
    <row r="256" spans="33:33" x14ac:dyDescent="0.3">
      <c r="AG256" s="84"/>
    </row>
    <row r="257" spans="33:33" x14ac:dyDescent="0.3">
      <c r="AG257" s="84"/>
    </row>
    <row r="258" spans="33:33" x14ac:dyDescent="0.3">
      <c r="AG258" s="84"/>
    </row>
    <row r="259" spans="33:33" x14ac:dyDescent="0.3">
      <c r="AG259" s="84"/>
    </row>
    <row r="260" spans="33:33" x14ac:dyDescent="0.3">
      <c r="AG260" s="84"/>
    </row>
    <row r="261" spans="33:33" x14ac:dyDescent="0.3">
      <c r="AG261" s="84"/>
    </row>
    <row r="262" spans="33:33" x14ac:dyDescent="0.3">
      <c r="AG262" s="84"/>
    </row>
    <row r="263" spans="33:33" x14ac:dyDescent="0.3">
      <c r="AG263" s="84"/>
    </row>
    <row r="264" spans="33:33" x14ac:dyDescent="0.3">
      <c r="AG264" s="84"/>
    </row>
    <row r="265" spans="33:33" x14ac:dyDescent="0.3">
      <c r="AG265" s="84"/>
    </row>
    <row r="266" spans="33:33" x14ac:dyDescent="0.3">
      <c r="AG266" s="84"/>
    </row>
    <row r="267" spans="33:33" x14ac:dyDescent="0.3">
      <c r="AG267" s="84"/>
    </row>
    <row r="268" spans="33:33" x14ac:dyDescent="0.3">
      <c r="AG268" s="84"/>
    </row>
    <row r="269" spans="33:33" x14ac:dyDescent="0.3">
      <c r="AG269" s="84"/>
    </row>
    <row r="270" spans="33:33" x14ac:dyDescent="0.3">
      <c r="AG270" s="84"/>
    </row>
    <row r="271" spans="33:33" x14ac:dyDescent="0.3">
      <c r="AG271" s="84"/>
    </row>
    <row r="272" spans="33:33" x14ac:dyDescent="0.3">
      <c r="AG272" s="84"/>
    </row>
    <row r="273" spans="33:33" x14ac:dyDescent="0.3">
      <c r="AG273" s="84"/>
    </row>
    <row r="274" spans="33:33" x14ac:dyDescent="0.3">
      <c r="AG274" s="84"/>
    </row>
    <row r="275" spans="33:33" x14ac:dyDescent="0.3">
      <c r="AG275" s="84"/>
    </row>
    <row r="276" spans="33:33" x14ac:dyDescent="0.3">
      <c r="AG276" s="84"/>
    </row>
    <row r="277" spans="33:33" x14ac:dyDescent="0.3">
      <c r="AG277" s="84"/>
    </row>
    <row r="278" spans="33:33" x14ac:dyDescent="0.3">
      <c r="AG278" s="84"/>
    </row>
    <row r="279" spans="33:33" x14ac:dyDescent="0.3">
      <c r="AG279" s="84"/>
    </row>
    <row r="280" spans="33:33" x14ac:dyDescent="0.3">
      <c r="AG280" s="84"/>
    </row>
    <row r="281" spans="33:33" x14ac:dyDescent="0.3">
      <c r="AG281" s="84"/>
    </row>
    <row r="282" spans="33:33" x14ac:dyDescent="0.3">
      <c r="AG282" s="84"/>
    </row>
    <row r="283" spans="33:33" x14ac:dyDescent="0.3">
      <c r="AG283" s="84"/>
    </row>
    <row r="284" spans="33:33" x14ac:dyDescent="0.3">
      <c r="AG284" s="84"/>
    </row>
    <row r="285" spans="33:33" x14ac:dyDescent="0.3">
      <c r="AG285" s="84"/>
    </row>
    <row r="286" spans="33:33" x14ac:dyDescent="0.3">
      <c r="AG286" s="84"/>
    </row>
    <row r="287" spans="33:33" x14ac:dyDescent="0.3">
      <c r="AG287" s="84"/>
    </row>
    <row r="288" spans="33:33" x14ac:dyDescent="0.3">
      <c r="AG288" s="84"/>
    </row>
    <row r="289" spans="33:33" x14ac:dyDescent="0.3">
      <c r="AG289" s="84"/>
    </row>
    <row r="290" spans="33:33" x14ac:dyDescent="0.3">
      <c r="AG290" s="84"/>
    </row>
    <row r="291" spans="33:33" x14ac:dyDescent="0.3">
      <c r="AG291" s="84"/>
    </row>
    <row r="292" spans="33:33" x14ac:dyDescent="0.3">
      <c r="AG292" s="84"/>
    </row>
    <row r="293" spans="33:33" x14ac:dyDescent="0.3">
      <c r="AG293" s="84"/>
    </row>
    <row r="294" spans="33:33" x14ac:dyDescent="0.3">
      <c r="AG294" s="84"/>
    </row>
    <row r="295" spans="33:33" x14ac:dyDescent="0.3">
      <c r="AG295" s="84"/>
    </row>
    <row r="296" spans="33:33" x14ac:dyDescent="0.3">
      <c r="AG296" s="84"/>
    </row>
    <row r="297" spans="33:33" x14ac:dyDescent="0.3">
      <c r="AG297" s="84"/>
    </row>
    <row r="298" spans="33:33" x14ac:dyDescent="0.3">
      <c r="AG298" s="84"/>
    </row>
    <row r="299" spans="33:33" x14ac:dyDescent="0.3">
      <c r="AG299" s="84"/>
    </row>
    <row r="300" spans="33:33" x14ac:dyDescent="0.3">
      <c r="AG300" s="84"/>
    </row>
    <row r="301" spans="33:33" x14ac:dyDescent="0.3">
      <c r="AG301" s="84"/>
    </row>
    <row r="302" spans="33:33" x14ac:dyDescent="0.3">
      <c r="AG302" s="84"/>
    </row>
    <row r="303" spans="33:33" x14ac:dyDescent="0.3">
      <c r="AG303" s="84"/>
    </row>
    <row r="304" spans="33:33" x14ac:dyDescent="0.3">
      <c r="AG304" s="84"/>
    </row>
    <row r="305" spans="33:33" x14ac:dyDescent="0.3">
      <c r="AG305" s="84"/>
    </row>
    <row r="306" spans="33:33" x14ac:dyDescent="0.3">
      <c r="AG306" s="84"/>
    </row>
    <row r="307" spans="33:33" x14ac:dyDescent="0.3">
      <c r="AG307" s="84"/>
    </row>
    <row r="308" spans="33:33" x14ac:dyDescent="0.3">
      <c r="AG308" s="84"/>
    </row>
    <row r="309" spans="33:33" x14ac:dyDescent="0.3">
      <c r="AG309" s="84"/>
    </row>
    <row r="310" spans="33:33" x14ac:dyDescent="0.3">
      <c r="AG310" s="84"/>
    </row>
    <row r="311" spans="33:33" x14ac:dyDescent="0.3">
      <c r="AG311" s="84"/>
    </row>
    <row r="312" spans="33:33" x14ac:dyDescent="0.3">
      <c r="AG312" s="84"/>
    </row>
    <row r="313" spans="33:33" x14ac:dyDescent="0.3">
      <c r="AG313" s="84"/>
    </row>
    <row r="314" spans="33:33" x14ac:dyDescent="0.3">
      <c r="AG314" s="84"/>
    </row>
    <row r="315" spans="33:33" x14ac:dyDescent="0.3">
      <c r="AG315" s="84"/>
    </row>
    <row r="316" spans="33:33" x14ac:dyDescent="0.3">
      <c r="AG316" s="84"/>
    </row>
    <row r="317" spans="33:33" x14ac:dyDescent="0.3">
      <c r="AG317" s="84"/>
    </row>
    <row r="318" spans="33:33" x14ac:dyDescent="0.3">
      <c r="AG318" s="84"/>
    </row>
    <row r="319" spans="33:33" x14ac:dyDescent="0.3">
      <c r="AG319" s="84"/>
    </row>
    <row r="320" spans="33:33" x14ac:dyDescent="0.3">
      <c r="AG320" s="84"/>
    </row>
    <row r="321" spans="33:33" x14ac:dyDescent="0.3">
      <c r="AG321" s="84"/>
    </row>
    <row r="322" spans="33:33" x14ac:dyDescent="0.3">
      <c r="AG322" s="84"/>
    </row>
    <row r="323" spans="33:33" x14ac:dyDescent="0.3">
      <c r="AG323" s="84"/>
    </row>
    <row r="324" spans="33:33" x14ac:dyDescent="0.3">
      <c r="AG324" s="84"/>
    </row>
    <row r="325" spans="33:33" x14ac:dyDescent="0.3">
      <c r="AG325" s="84"/>
    </row>
    <row r="326" spans="33:33" x14ac:dyDescent="0.3">
      <c r="AG326" s="84"/>
    </row>
    <row r="327" spans="33:33" x14ac:dyDescent="0.3">
      <c r="AG327" s="84"/>
    </row>
    <row r="328" spans="33:33" x14ac:dyDescent="0.3">
      <c r="AG328" s="84"/>
    </row>
    <row r="329" spans="33:33" x14ac:dyDescent="0.3">
      <c r="AG329" s="84"/>
    </row>
    <row r="330" spans="33:33" x14ac:dyDescent="0.3">
      <c r="AG330" s="84"/>
    </row>
    <row r="331" spans="33:33" x14ac:dyDescent="0.3">
      <c r="AG331" s="84"/>
    </row>
    <row r="332" spans="33:33" x14ac:dyDescent="0.3">
      <c r="AG332" s="84"/>
    </row>
    <row r="333" spans="33:33" x14ac:dyDescent="0.3">
      <c r="AG333" s="84"/>
    </row>
    <row r="334" spans="33:33" x14ac:dyDescent="0.3">
      <c r="AG334" s="84"/>
    </row>
    <row r="335" spans="33:33" x14ac:dyDescent="0.3">
      <c r="AG335" s="84"/>
    </row>
    <row r="336" spans="33:33" x14ac:dyDescent="0.3">
      <c r="AG336" s="84"/>
    </row>
    <row r="337" spans="33:33" x14ac:dyDescent="0.3">
      <c r="AG337" s="84"/>
    </row>
    <row r="338" spans="33:33" x14ac:dyDescent="0.3">
      <c r="AG338" s="84"/>
    </row>
    <row r="339" spans="33:33" x14ac:dyDescent="0.3">
      <c r="AG339" s="84"/>
    </row>
    <row r="340" spans="33:33" x14ac:dyDescent="0.3">
      <c r="AG340" s="84"/>
    </row>
    <row r="341" spans="33:33" x14ac:dyDescent="0.3">
      <c r="AG341" s="84"/>
    </row>
    <row r="342" spans="33:33" x14ac:dyDescent="0.3">
      <c r="AG342" s="84"/>
    </row>
    <row r="343" spans="33:33" x14ac:dyDescent="0.3">
      <c r="AG343" s="84"/>
    </row>
    <row r="344" spans="33:33" x14ac:dyDescent="0.3">
      <c r="AG344" s="84"/>
    </row>
    <row r="345" spans="33:33" x14ac:dyDescent="0.3">
      <c r="AG345" s="84"/>
    </row>
    <row r="346" spans="33:33" x14ac:dyDescent="0.3">
      <c r="AG346" s="84"/>
    </row>
    <row r="347" spans="33:33" x14ac:dyDescent="0.3">
      <c r="AG347" s="84"/>
    </row>
    <row r="348" spans="33:33" x14ac:dyDescent="0.3">
      <c r="AG348" s="84"/>
    </row>
    <row r="349" spans="33:33" x14ac:dyDescent="0.3">
      <c r="AG349" s="84"/>
    </row>
    <row r="350" spans="33:33" x14ac:dyDescent="0.3">
      <c r="AG350" s="84"/>
    </row>
    <row r="351" spans="33:33" x14ac:dyDescent="0.3">
      <c r="AG351" s="84"/>
    </row>
    <row r="352" spans="33:33" x14ac:dyDescent="0.3">
      <c r="AG352" s="84"/>
    </row>
    <row r="353" spans="33:33" x14ac:dyDescent="0.3">
      <c r="AG353" s="84"/>
    </row>
    <row r="354" spans="33:33" x14ac:dyDescent="0.3">
      <c r="AG354" s="84"/>
    </row>
    <row r="355" spans="33:33" x14ac:dyDescent="0.3">
      <c r="AG355" s="84"/>
    </row>
    <row r="356" spans="33:33" x14ac:dyDescent="0.3">
      <c r="AG356" s="84"/>
    </row>
    <row r="357" spans="33:33" x14ac:dyDescent="0.3">
      <c r="AG357" s="84"/>
    </row>
    <row r="358" spans="33:33" x14ac:dyDescent="0.3">
      <c r="AG358" s="84"/>
    </row>
    <row r="359" spans="33:33" x14ac:dyDescent="0.3">
      <c r="AG359" s="84"/>
    </row>
    <row r="360" spans="33:33" x14ac:dyDescent="0.3">
      <c r="AG360" s="84"/>
    </row>
    <row r="361" spans="33:33" x14ac:dyDescent="0.3">
      <c r="AG361" s="84"/>
    </row>
    <row r="362" spans="33:33" x14ac:dyDescent="0.3">
      <c r="AG362" s="84"/>
    </row>
    <row r="363" spans="33:33" x14ac:dyDescent="0.3">
      <c r="AG363" s="84"/>
    </row>
    <row r="364" spans="33:33" x14ac:dyDescent="0.3">
      <c r="AG364" s="84"/>
    </row>
    <row r="365" spans="33:33" x14ac:dyDescent="0.3">
      <c r="AG365" s="84"/>
    </row>
    <row r="366" spans="33:33" x14ac:dyDescent="0.3">
      <c r="AG366" s="84"/>
    </row>
    <row r="367" spans="33:33" x14ac:dyDescent="0.3">
      <c r="AG367" s="84"/>
    </row>
    <row r="368" spans="33:33" x14ac:dyDescent="0.3">
      <c r="AG368" s="84"/>
    </row>
    <row r="369" spans="33:33" x14ac:dyDescent="0.3">
      <c r="AG369" s="84"/>
    </row>
    <row r="370" spans="33:33" x14ac:dyDescent="0.3">
      <c r="AG370" s="84"/>
    </row>
    <row r="371" spans="33:33" x14ac:dyDescent="0.3">
      <c r="AG371" s="84"/>
    </row>
    <row r="372" spans="33:33" x14ac:dyDescent="0.3">
      <c r="AG372" s="84"/>
    </row>
    <row r="373" spans="33:33" x14ac:dyDescent="0.3">
      <c r="AG373" s="84"/>
    </row>
    <row r="374" spans="33:33" x14ac:dyDescent="0.3">
      <c r="AG374" s="84"/>
    </row>
    <row r="375" spans="33:33" x14ac:dyDescent="0.3">
      <c r="AG375" s="84"/>
    </row>
    <row r="376" spans="33:33" x14ac:dyDescent="0.3">
      <c r="AG376" s="84"/>
    </row>
    <row r="377" spans="33:33" x14ac:dyDescent="0.3">
      <c r="AG377" s="84"/>
    </row>
    <row r="378" spans="33:33" x14ac:dyDescent="0.3">
      <c r="AG378" s="84"/>
    </row>
    <row r="379" spans="33:33" x14ac:dyDescent="0.3">
      <c r="AG379" s="84"/>
    </row>
    <row r="380" spans="33:33" x14ac:dyDescent="0.3">
      <c r="AG380" s="84"/>
    </row>
    <row r="381" spans="33:33" x14ac:dyDescent="0.3">
      <c r="AG381" s="84"/>
    </row>
    <row r="382" spans="33:33" x14ac:dyDescent="0.3">
      <c r="AG382" s="84"/>
    </row>
    <row r="383" spans="33:33" x14ac:dyDescent="0.3">
      <c r="AG383" s="84"/>
    </row>
    <row r="384" spans="33:33" x14ac:dyDescent="0.3">
      <c r="AG384" s="84"/>
    </row>
    <row r="385" spans="33:33" x14ac:dyDescent="0.3">
      <c r="AG385" s="84"/>
    </row>
    <row r="386" spans="33:33" x14ac:dyDescent="0.3">
      <c r="AG386" s="84"/>
    </row>
    <row r="387" spans="33:33" x14ac:dyDescent="0.3">
      <c r="AG387" s="84"/>
    </row>
    <row r="388" spans="33:33" x14ac:dyDescent="0.3">
      <c r="AG388" s="84"/>
    </row>
    <row r="389" spans="33:33" x14ac:dyDescent="0.3">
      <c r="AG389" s="84"/>
    </row>
    <row r="390" spans="33:33" x14ac:dyDescent="0.3">
      <c r="AG390" s="84"/>
    </row>
    <row r="391" spans="33:33" x14ac:dyDescent="0.3">
      <c r="AG391" s="84"/>
    </row>
    <row r="392" spans="33:33" x14ac:dyDescent="0.3">
      <c r="AG392" s="84"/>
    </row>
    <row r="393" spans="33:33" x14ac:dyDescent="0.3">
      <c r="AG393" s="84"/>
    </row>
    <row r="394" spans="33:33" x14ac:dyDescent="0.3">
      <c r="AG394" s="84"/>
    </row>
    <row r="395" spans="33:33" x14ac:dyDescent="0.3">
      <c r="AG395" s="84"/>
    </row>
    <row r="396" spans="33:33" x14ac:dyDescent="0.3">
      <c r="AG396" s="84"/>
    </row>
    <row r="397" spans="33:33" x14ac:dyDescent="0.3">
      <c r="AG397" s="84"/>
    </row>
    <row r="398" spans="33:33" x14ac:dyDescent="0.3">
      <c r="AG398" s="84"/>
    </row>
    <row r="399" spans="33:33" x14ac:dyDescent="0.3">
      <c r="AG399" s="84"/>
    </row>
    <row r="400" spans="33:33" x14ac:dyDescent="0.3">
      <c r="AG400" s="84"/>
    </row>
    <row r="401" spans="33:33" x14ac:dyDescent="0.3">
      <c r="AG401" s="84"/>
    </row>
    <row r="402" spans="33:33" x14ac:dyDescent="0.3">
      <c r="AG402" s="84"/>
    </row>
    <row r="403" spans="33:33" x14ac:dyDescent="0.3">
      <c r="AG403" s="84"/>
    </row>
    <row r="404" spans="33:33" x14ac:dyDescent="0.3">
      <c r="AG404" s="84"/>
    </row>
    <row r="405" spans="33:33" x14ac:dyDescent="0.3">
      <c r="AG405" s="84"/>
    </row>
    <row r="406" spans="33:33" x14ac:dyDescent="0.3">
      <c r="AG406" s="84"/>
    </row>
    <row r="407" spans="33:33" x14ac:dyDescent="0.3">
      <c r="AG407" s="84"/>
    </row>
    <row r="408" spans="33:33" x14ac:dyDescent="0.3">
      <c r="AG408" s="84"/>
    </row>
    <row r="409" spans="33:33" x14ac:dyDescent="0.3">
      <c r="AG409" s="84"/>
    </row>
    <row r="410" spans="33:33" x14ac:dyDescent="0.3">
      <c r="AG410" s="84"/>
    </row>
    <row r="411" spans="33:33" x14ac:dyDescent="0.3">
      <c r="AG411" s="84"/>
    </row>
    <row r="412" spans="33:33" x14ac:dyDescent="0.3">
      <c r="AG412" s="84"/>
    </row>
    <row r="413" spans="33:33" x14ac:dyDescent="0.3">
      <c r="AG413" s="84"/>
    </row>
    <row r="414" spans="33:33" x14ac:dyDescent="0.3">
      <c r="AG414" s="84"/>
    </row>
    <row r="415" spans="33:33" x14ac:dyDescent="0.3">
      <c r="AG415" s="84"/>
    </row>
    <row r="416" spans="33:33" x14ac:dyDescent="0.3">
      <c r="AG416" s="84"/>
    </row>
    <row r="417" spans="33:33" x14ac:dyDescent="0.3">
      <c r="AG417" s="84"/>
    </row>
    <row r="418" spans="33:33" x14ac:dyDescent="0.3">
      <c r="AG418" s="84"/>
    </row>
    <row r="419" spans="33:33" x14ac:dyDescent="0.3">
      <c r="AG419" s="84"/>
    </row>
    <row r="420" spans="33:33" x14ac:dyDescent="0.3">
      <c r="AG420" s="84"/>
    </row>
    <row r="421" spans="33:33" x14ac:dyDescent="0.3">
      <c r="AG421" s="84"/>
    </row>
    <row r="422" spans="33:33" x14ac:dyDescent="0.3">
      <c r="AG422" s="84"/>
    </row>
    <row r="423" spans="33:33" x14ac:dyDescent="0.3">
      <c r="AG423" s="84"/>
    </row>
    <row r="424" spans="33:33" x14ac:dyDescent="0.3">
      <c r="AG424" s="84"/>
    </row>
    <row r="425" spans="33:33" x14ac:dyDescent="0.3">
      <c r="AG425" s="84"/>
    </row>
    <row r="426" spans="33:33" x14ac:dyDescent="0.3">
      <c r="AG426" s="84"/>
    </row>
    <row r="427" spans="33:33" x14ac:dyDescent="0.3">
      <c r="AG427" s="84"/>
    </row>
    <row r="428" spans="33:33" x14ac:dyDescent="0.3">
      <c r="AG428" s="84"/>
    </row>
    <row r="429" spans="33:33" x14ac:dyDescent="0.3">
      <c r="AG429" s="84"/>
    </row>
    <row r="430" spans="33:33" x14ac:dyDescent="0.3">
      <c r="AG430" s="84"/>
    </row>
    <row r="431" spans="33:33" x14ac:dyDescent="0.3">
      <c r="AG431" s="84"/>
    </row>
    <row r="432" spans="33:33" x14ac:dyDescent="0.3">
      <c r="AG432" s="84"/>
    </row>
    <row r="433" spans="33:33" x14ac:dyDescent="0.3">
      <c r="AG433" s="84"/>
    </row>
    <row r="434" spans="33:33" x14ac:dyDescent="0.3">
      <c r="AG434" s="84"/>
    </row>
    <row r="435" spans="33:33" x14ac:dyDescent="0.3">
      <c r="AG435" s="84"/>
    </row>
    <row r="436" spans="33:33" x14ac:dyDescent="0.3">
      <c r="AG436" s="84"/>
    </row>
    <row r="437" spans="33:33" x14ac:dyDescent="0.3">
      <c r="AG437" s="84"/>
    </row>
    <row r="438" spans="33:33" x14ac:dyDescent="0.3">
      <c r="AG438" s="84"/>
    </row>
    <row r="439" spans="33:33" x14ac:dyDescent="0.3">
      <c r="AG439" s="84"/>
    </row>
    <row r="440" spans="33:33" x14ac:dyDescent="0.3">
      <c r="AG440" s="84"/>
    </row>
    <row r="441" spans="33:33" x14ac:dyDescent="0.3">
      <c r="AG441" s="84"/>
    </row>
    <row r="442" spans="33:33" x14ac:dyDescent="0.3">
      <c r="AG442" s="84"/>
    </row>
    <row r="443" spans="33:33" x14ac:dyDescent="0.3">
      <c r="AG443" s="84"/>
    </row>
    <row r="444" spans="33:33" x14ac:dyDescent="0.3">
      <c r="AG444" s="84"/>
    </row>
    <row r="445" spans="33:33" x14ac:dyDescent="0.3">
      <c r="AG445" s="84"/>
    </row>
    <row r="446" spans="33:33" x14ac:dyDescent="0.3">
      <c r="AG446" s="84"/>
    </row>
    <row r="447" spans="33:33" x14ac:dyDescent="0.3">
      <c r="AG447" s="84"/>
    </row>
    <row r="448" spans="33:33" x14ac:dyDescent="0.3">
      <c r="AG448" s="84"/>
    </row>
    <row r="449" spans="33:33" x14ac:dyDescent="0.3">
      <c r="AG449" s="84"/>
    </row>
    <row r="450" spans="33:33" x14ac:dyDescent="0.3">
      <c r="AG450" s="84"/>
    </row>
    <row r="451" spans="33:33" x14ac:dyDescent="0.3">
      <c r="AG451" s="84"/>
    </row>
    <row r="452" spans="33:33" x14ac:dyDescent="0.3">
      <c r="AG452" s="84"/>
    </row>
    <row r="453" spans="33:33" x14ac:dyDescent="0.3">
      <c r="AG453" s="84"/>
    </row>
    <row r="454" spans="33:33" x14ac:dyDescent="0.3">
      <c r="AG454" s="84"/>
    </row>
    <row r="455" spans="33:33" x14ac:dyDescent="0.3">
      <c r="AG455" s="84"/>
    </row>
    <row r="456" spans="33:33" x14ac:dyDescent="0.3">
      <c r="AG456" s="84"/>
    </row>
    <row r="457" spans="33:33" x14ac:dyDescent="0.3">
      <c r="AG457" s="84"/>
    </row>
    <row r="458" spans="33:33" x14ac:dyDescent="0.3">
      <c r="AG458" s="84"/>
    </row>
    <row r="459" spans="33:33" x14ac:dyDescent="0.3">
      <c r="AG459" s="84"/>
    </row>
    <row r="460" spans="33:33" x14ac:dyDescent="0.3">
      <c r="AG460" s="84"/>
    </row>
    <row r="461" spans="33:33" x14ac:dyDescent="0.3">
      <c r="AG461" s="84"/>
    </row>
    <row r="462" spans="33:33" x14ac:dyDescent="0.3">
      <c r="AG462" s="84"/>
    </row>
    <row r="463" spans="33:33" x14ac:dyDescent="0.3">
      <c r="AG463" s="84"/>
    </row>
    <row r="464" spans="33:33" x14ac:dyDescent="0.3">
      <c r="AG464" s="84"/>
    </row>
    <row r="465" spans="33:33" x14ac:dyDescent="0.3">
      <c r="AG465" s="84"/>
    </row>
    <row r="466" spans="33:33" x14ac:dyDescent="0.3">
      <c r="AG466" s="84"/>
    </row>
    <row r="467" spans="33:33" x14ac:dyDescent="0.3">
      <c r="AG467" s="84"/>
    </row>
    <row r="468" spans="33:33" x14ac:dyDescent="0.3">
      <c r="AG468" s="84"/>
    </row>
    <row r="469" spans="33:33" x14ac:dyDescent="0.3">
      <c r="AG469" s="84"/>
    </row>
    <row r="470" spans="33:33" x14ac:dyDescent="0.3">
      <c r="AG470" s="84"/>
    </row>
    <row r="471" spans="33:33" x14ac:dyDescent="0.3">
      <c r="AG471" s="84"/>
    </row>
    <row r="472" spans="33:33" x14ac:dyDescent="0.3">
      <c r="AG472" s="84"/>
    </row>
    <row r="473" spans="33:33" x14ac:dyDescent="0.3">
      <c r="AG473" s="84"/>
    </row>
    <row r="474" spans="33:33" x14ac:dyDescent="0.3">
      <c r="AG474" s="84"/>
    </row>
    <row r="475" spans="33:33" x14ac:dyDescent="0.3">
      <c r="AG475" s="84"/>
    </row>
    <row r="476" spans="33:33" x14ac:dyDescent="0.3">
      <c r="AG476" s="84"/>
    </row>
    <row r="477" spans="33:33" x14ac:dyDescent="0.3">
      <c r="AG477" s="84"/>
    </row>
    <row r="478" spans="33:33" x14ac:dyDescent="0.3">
      <c r="AG478" s="84"/>
    </row>
    <row r="479" spans="33:33" x14ac:dyDescent="0.3">
      <c r="AG479" s="84"/>
    </row>
    <row r="480" spans="33:33" x14ac:dyDescent="0.3">
      <c r="AG480" s="84"/>
    </row>
    <row r="481" spans="33:33" x14ac:dyDescent="0.3">
      <c r="AG481" s="84"/>
    </row>
    <row r="482" spans="33:33" x14ac:dyDescent="0.3">
      <c r="AG482" s="84"/>
    </row>
    <row r="483" spans="33:33" x14ac:dyDescent="0.3">
      <c r="AG483" s="84"/>
    </row>
    <row r="484" spans="33:33" x14ac:dyDescent="0.3">
      <c r="AG484" s="84"/>
    </row>
    <row r="485" spans="33:33" x14ac:dyDescent="0.3">
      <c r="AG485" s="84"/>
    </row>
    <row r="486" spans="33:33" x14ac:dyDescent="0.3">
      <c r="AG486" s="84"/>
    </row>
    <row r="487" spans="33:33" x14ac:dyDescent="0.3">
      <c r="AG487" s="84"/>
    </row>
    <row r="488" spans="33:33" x14ac:dyDescent="0.3">
      <c r="AG488" s="84"/>
    </row>
    <row r="489" spans="33:33" x14ac:dyDescent="0.3">
      <c r="AG489" s="84"/>
    </row>
    <row r="490" spans="33:33" x14ac:dyDescent="0.3">
      <c r="AG490" s="84"/>
    </row>
    <row r="491" spans="33:33" x14ac:dyDescent="0.3">
      <c r="AG491" s="84"/>
    </row>
    <row r="492" spans="33:33" x14ac:dyDescent="0.3">
      <c r="AG492" s="84"/>
    </row>
    <row r="493" spans="33:33" x14ac:dyDescent="0.3">
      <c r="AG493" s="84"/>
    </row>
    <row r="494" spans="33:33" x14ac:dyDescent="0.3">
      <c r="AG494" s="84"/>
    </row>
    <row r="495" spans="33:33" x14ac:dyDescent="0.3">
      <c r="AG495" s="84"/>
    </row>
    <row r="496" spans="33:33" x14ac:dyDescent="0.3">
      <c r="AG496" s="84"/>
    </row>
    <row r="497" spans="33:33" x14ac:dyDescent="0.3">
      <c r="AG497" s="84"/>
    </row>
    <row r="498" spans="33:33" x14ac:dyDescent="0.3">
      <c r="AG498" s="84"/>
    </row>
    <row r="499" spans="33:33" x14ac:dyDescent="0.3">
      <c r="AG499" s="84"/>
    </row>
    <row r="500" spans="33:33" x14ac:dyDescent="0.3">
      <c r="AG500" s="84"/>
    </row>
    <row r="501" spans="33:33" x14ac:dyDescent="0.3">
      <c r="AG501" s="84"/>
    </row>
    <row r="502" spans="33:33" x14ac:dyDescent="0.3">
      <c r="AG502" s="84"/>
    </row>
    <row r="503" spans="33:33" x14ac:dyDescent="0.3">
      <c r="AG503" s="84"/>
    </row>
    <row r="504" spans="33:33" x14ac:dyDescent="0.3">
      <c r="AG504" s="84"/>
    </row>
    <row r="505" spans="33:33" x14ac:dyDescent="0.3">
      <c r="AG505" s="84"/>
    </row>
    <row r="506" spans="33:33" x14ac:dyDescent="0.3">
      <c r="AG506" s="84"/>
    </row>
    <row r="507" spans="33:33" x14ac:dyDescent="0.3">
      <c r="AG507" s="84"/>
    </row>
    <row r="508" spans="33:33" x14ac:dyDescent="0.3">
      <c r="AG508" s="84"/>
    </row>
    <row r="509" spans="33:33" x14ac:dyDescent="0.3">
      <c r="AG509" s="84"/>
    </row>
    <row r="510" spans="33:33" x14ac:dyDescent="0.3">
      <c r="AG510" s="84"/>
    </row>
    <row r="511" spans="33:33" x14ac:dyDescent="0.3">
      <c r="AG511" s="84"/>
    </row>
    <row r="512" spans="33:33" x14ac:dyDescent="0.3">
      <c r="AG512" s="84"/>
    </row>
    <row r="513" spans="33:33" x14ac:dyDescent="0.3">
      <c r="AG513" s="84"/>
    </row>
    <row r="514" spans="33:33" x14ac:dyDescent="0.3">
      <c r="AG514" s="84"/>
    </row>
    <row r="515" spans="33:33" x14ac:dyDescent="0.3">
      <c r="AG515" s="84"/>
    </row>
    <row r="516" spans="33:33" x14ac:dyDescent="0.3">
      <c r="AG516" s="84"/>
    </row>
    <row r="517" spans="33:33" x14ac:dyDescent="0.3">
      <c r="AG517" s="84"/>
    </row>
    <row r="518" spans="33:33" x14ac:dyDescent="0.3">
      <c r="AG518" s="84"/>
    </row>
    <row r="519" spans="33:33" x14ac:dyDescent="0.3">
      <c r="AG519" s="84"/>
    </row>
    <row r="520" spans="33:33" x14ac:dyDescent="0.3">
      <c r="AG520" s="84"/>
    </row>
    <row r="521" spans="33:33" x14ac:dyDescent="0.3">
      <c r="AG521" s="84"/>
    </row>
    <row r="522" spans="33:33" x14ac:dyDescent="0.3">
      <c r="AG522" s="84"/>
    </row>
    <row r="523" spans="33:33" x14ac:dyDescent="0.3">
      <c r="AG523" s="84"/>
    </row>
    <row r="524" spans="33:33" x14ac:dyDescent="0.3">
      <c r="AG524" s="84"/>
    </row>
    <row r="525" spans="33:33" x14ac:dyDescent="0.3">
      <c r="AG525" s="84"/>
    </row>
    <row r="526" spans="33:33" x14ac:dyDescent="0.3">
      <c r="AG526" s="84"/>
    </row>
    <row r="527" spans="33:33" x14ac:dyDescent="0.3">
      <c r="AG527" s="84"/>
    </row>
    <row r="528" spans="33:33" x14ac:dyDescent="0.3">
      <c r="AG528" s="84"/>
    </row>
    <row r="529" spans="33:33" x14ac:dyDescent="0.3">
      <c r="AG529" s="84"/>
    </row>
    <row r="530" spans="33:33" x14ac:dyDescent="0.3">
      <c r="AG530" s="84"/>
    </row>
    <row r="531" spans="33:33" x14ac:dyDescent="0.3">
      <c r="AG531" s="84"/>
    </row>
    <row r="532" spans="33:33" x14ac:dyDescent="0.3">
      <c r="AG532" s="84"/>
    </row>
    <row r="533" spans="33:33" x14ac:dyDescent="0.3">
      <c r="AG533" s="84"/>
    </row>
    <row r="534" spans="33:33" x14ac:dyDescent="0.3">
      <c r="AG534" s="84"/>
    </row>
    <row r="535" spans="33:33" x14ac:dyDescent="0.3">
      <c r="AG535" s="84"/>
    </row>
    <row r="536" spans="33:33" x14ac:dyDescent="0.3">
      <c r="AG536" s="84"/>
    </row>
    <row r="537" spans="33:33" x14ac:dyDescent="0.3">
      <c r="AG537" s="84"/>
    </row>
    <row r="538" spans="33:33" x14ac:dyDescent="0.3">
      <c r="AG538" s="84"/>
    </row>
    <row r="539" spans="33:33" x14ac:dyDescent="0.3">
      <c r="AG539" s="84"/>
    </row>
    <row r="540" spans="33:33" x14ac:dyDescent="0.3">
      <c r="AG540" s="84"/>
    </row>
    <row r="541" spans="33:33" x14ac:dyDescent="0.3">
      <c r="AG541" s="84"/>
    </row>
    <row r="542" spans="33:33" x14ac:dyDescent="0.3">
      <c r="AG542" s="84"/>
    </row>
    <row r="543" spans="33:33" x14ac:dyDescent="0.3">
      <c r="AG543" s="84"/>
    </row>
    <row r="544" spans="33:33" x14ac:dyDescent="0.3">
      <c r="AG544" s="84"/>
    </row>
    <row r="545" spans="33:33" x14ac:dyDescent="0.3">
      <c r="AG545" s="84"/>
    </row>
    <row r="546" spans="33:33" x14ac:dyDescent="0.3">
      <c r="AG546" s="84"/>
    </row>
    <row r="547" spans="33:33" x14ac:dyDescent="0.3">
      <c r="AG547" s="84"/>
    </row>
    <row r="548" spans="33:33" x14ac:dyDescent="0.3">
      <c r="AG548" s="84"/>
    </row>
    <row r="549" spans="33:33" x14ac:dyDescent="0.3">
      <c r="AG549" s="84"/>
    </row>
    <row r="550" spans="33:33" x14ac:dyDescent="0.3">
      <c r="AG550" s="84"/>
    </row>
    <row r="551" spans="33:33" x14ac:dyDescent="0.3">
      <c r="AG551" s="84"/>
    </row>
    <row r="552" spans="33:33" x14ac:dyDescent="0.3">
      <c r="AG552" s="84"/>
    </row>
    <row r="553" spans="33:33" x14ac:dyDescent="0.3">
      <c r="AG553" s="84"/>
    </row>
    <row r="554" spans="33:33" x14ac:dyDescent="0.3">
      <c r="AG554" s="84"/>
    </row>
    <row r="555" spans="33:33" x14ac:dyDescent="0.3">
      <c r="AG555" s="84"/>
    </row>
    <row r="556" spans="33:33" x14ac:dyDescent="0.3">
      <c r="AG556" s="84"/>
    </row>
    <row r="557" spans="33:33" x14ac:dyDescent="0.3">
      <c r="AG557" s="84"/>
    </row>
    <row r="558" spans="33:33" x14ac:dyDescent="0.3">
      <c r="AG558" s="84"/>
    </row>
    <row r="559" spans="33:33" x14ac:dyDescent="0.3">
      <c r="AG559" s="84"/>
    </row>
    <row r="560" spans="33:33" x14ac:dyDescent="0.3">
      <c r="AG560" s="84"/>
    </row>
    <row r="561" spans="33:33" x14ac:dyDescent="0.3">
      <c r="AG561" s="84"/>
    </row>
    <row r="562" spans="33:33" x14ac:dyDescent="0.3">
      <c r="AG562" s="84"/>
    </row>
    <row r="563" spans="33:33" x14ac:dyDescent="0.3">
      <c r="AG563" s="84"/>
    </row>
    <row r="564" spans="33:33" x14ac:dyDescent="0.3">
      <c r="AG564" s="84"/>
    </row>
    <row r="565" spans="33:33" x14ac:dyDescent="0.3">
      <c r="AG565" s="84"/>
    </row>
    <row r="566" spans="33:33" x14ac:dyDescent="0.3">
      <c r="AG566" s="84"/>
    </row>
    <row r="567" spans="33:33" x14ac:dyDescent="0.3">
      <c r="AG567" s="84"/>
    </row>
    <row r="568" spans="33:33" x14ac:dyDescent="0.3">
      <c r="AG568" s="84"/>
    </row>
    <row r="569" spans="33:33" x14ac:dyDescent="0.3">
      <c r="AG569" s="84"/>
    </row>
    <row r="570" spans="33:33" x14ac:dyDescent="0.3">
      <c r="AG570" s="84"/>
    </row>
    <row r="571" spans="33:33" x14ac:dyDescent="0.3">
      <c r="AG571" s="84"/>
    </row>
    <row r="572" spans="33:33" x14ac:dyDescent="0.3">
      <c r="AG572" s="84"/>
    </row>
    <row r="573" spans="33:33" x14ac:dyDescent="0.3">
      <c r="AG573" s="84"/>
    </row>
    <row r="574" spans="33:33" x14ac:dyDescent="0.3">
      <c r="AG574" s="84"/>
    </row>
    <row r="575" spans="33:33" x14ac:dyDescent="0.3">
      <c r="AG575" s="84"/>
    </row>
    <row r="576" spans="33:33" x14ac:dyDescent="0.3">
      <c r="AG576" s="84"/>
    </row>
    <row r="577" spans="33:33" x14ac:dyDescent="0.3">
      <c r="AG577" s="84"/>
    </row>
    <row r="578" spans="33:33" x14ac:dyDescent="0.3">
      <c r="AG578" s="84"/>
    </row>
    <row r="579" spans="33:33" x14ac:dyDescent="0.3">
      <c r="AG579" s="84"/>
    </row>
    <row r="580" spans="33:33" x14ac:dyDescent="0.3">
      <c r="AG580" s="84"/>
    </row>
    <row r="581" spans="33:33" x14ac:dyDescent="0.3">
      <c r="AG581" s="84"/>
    </row>
    <row r="582" spans="33:33" x14ac:dyDescent="0.3">
      <c r="AG582" s="84"/>
    </row>
    <row r="583" spans="33:33" x14ac:dyDescent="0.3">
      <c r="AG583" s="84"/>
    </row>
    <row r="584" spans="33:33" x14ac:dyDescent="0.3">
      <c r="AG584" s="84"/>
    </row>
    <row r="585" spans="33:33" x14ac:dyDescent="0.3">
      <c r="AG585" s="84"/>
    </row>
    <row r="586" spans="33:33" x14ac:dyDescent="0.3">
      <c r="AG586" s="84"/>
    </row>
    <row r="587" spans="33:33" x14ac:dyDescent="0.3">
      <c r="AG587" s="84"/>
    </row>
    <row r="588" spans="33:33" x14ac:dyDescent="0.3">
      <c r="AG588" s="84"/>
    </row>
    <row r="589" spans="33:33" x14ac:dyDescent="0.3">
      <c r="AG589" s="84"/>
    </row>
    <row r="590" spans="33:33" x14ac:dyDescent="0.3">
      <c r="AG590" s="84"/>
    </row>
    <row r="591" spans="33:33" x14ac:dyDescent="0.3">
      <c r="AG591" s="84"/>
    </row>
    <row r="592" spans="33:33" x14ac:dyDescent="0.3">
      <c r="AG592" s="84"/>
    </row>
    <row r="593" spans="33:33" x14ac:dyDescent="0.3">
      <c r="AG593" s="84"/>
    </row>
    <row r="594" spans="33:33" x14ac:dyDescent="0.3">
      <c r="AG594" s="84"/>
    </row>
    <row r="595" spans="33:33" x14ac:dyDescent="0.3">
      <c r="AG595" s="84"/>
    </row>
    <row r="596" spans="33:33" x14ac:dyDescent="0.3">
      <c r="AG596" s="84"/>
    </row>
    <row r="597" spans="33:33" x14ac:dyDescent="0.3">
      <c r="AG597" s="84"/>
    </row>
    <row r="598" spans="33:33" x14ac:dyDescent="0.3">
      <c r="AG598" s="84"/>
    </row>
    <row r="599" spans="33:33" x14ac:dyDescent="0.3">
      <c r="AG599" s="84"/>
    </row>
    <row r="600" spans="33:33" x14ac:dyDescent="0.3">
      <c r="AG600" s="84"/>
    </row>
    <row r="601" spans="33:33" x14ac:dyDescent="0.3">
      <c r="AG601" s="84"/>
    </row>
    <row r="602" spans="33:33" x14ac:dyDescent="0.3">
      <c r="AG602" s="84"/>
    </row>
    <row r="603" spans="33:33" x14ac:dyDescent="0.3">
      <c r="AG603" s="84"/>
    </row>
    <row r="604" spans="33:33" x14ac:dyDescent="0.3">
      <c r="AG604" s="84"/>
    </row>
    <row r="605" spans="33:33" x14ac:dyDescent="0.3">
      <c r="AG605" s="84"/>
    </row>
    <row r="606" spans="33:33" x14ac:dyDescent="0.3">
      <c r="AG606" s="84"/>
    </row>
    <row r="607" spans="33:33" x14ac:dyDescent="0.3">
      <c r="AG607" s="84"/>
    </row>
    <row r="608" spans="33:33" x14ac:dyDescent="0.3">
      <c r="AG608" s="84"/>
    </row>
    <row r="609" spans="33:33" x14ac:dyDescent="0.3">
      <c r="AG609" s="84"/>
    </row>
    <row r="610" spans="33:33" x14ac:dyDescent="0.3">
      <c r="AG610" s="84"/>
    </row>
    <row r="611" spans="33:33" x14ac:dyDescent="0.3">
      <c r="AG611" s="84"/>
    </row>
    <row r="612" spans="33:33" x14ac:dyDescent="0.3">
      <c r="AG612" s="84"/>
    </row>
    <row r="613" spans="33:33" x14ac:dyDescent="0.3">
      <c r="AG613" s="84"/>
    </row>
    <row r="614" spans="33:33" x14ac:dyDescent="0.3">
      <c r="AG614" s="84"/>
    </row>
    <row r="615" spans="33:33" x14ac:dyDescent="0.3">
      <c r="AG615" s="84"/>
    </row>
    <row r="616" spans="33:33" x14ac:dyDescent="0.3">
      <c r="AG616" s="84"/>
    </row>
    <row r="617" spans="33:33" x14ac:dyDescent="0.3">
      <c r="AG617" s="84"/>
    </row>
    <row r="618" spans="33:33" x14ac:dyDescent="0.3">
      <c r="AG618" s="84"/>
    </row>
    <row r="619" spans="33:33" x14ac:dyDescent="0.3">
      <c r="AG619" s="84"/>
    </row>
    <row r="620" spans="33:33" x14ac:dyDescent="0.3">
      <c r="AG620" s="84"/>
    </row>
    <row r="621" spans="33:33" x14ac:dyDescent="0.3">
      <c r="AG621" s="84"/>
    </row>
    <row r="622" spans="33:33" x14ac:dyDescent="0.3">
      <c r="AG622" s="84"/>
    </row>
    <row r="623" spans="33:33" x14ac:dyDescent="0.3">
      <c r="AG623" s="84"/>
    </row>
    <row r="624" spans="33:33" x14ac:dyDescent="0.3">
      <c r="AG624" s="84"/>
    </row>
    <row r="625" spans="33:33" x14ac:dyDescent="0.3">
      <c r="AG625" s="84"/>
    </row>
    <row r="626" spans="33:33" x14ac:dyDescent="0.3">
      <c r="AG626" s="84"/>
    </row>
    <row r="627" spans="33:33" x14ac:dyDescent="0.3">
      <c r="AG627" s="84"/>
    </row>
    <row r="628" spans="33:33" x14ac:dyDescent="0.3">
      <c r="AG628" s="84"/>
    </row>
    <row r="629" spans="33:33" x14ac:dyDescent="0.3">
      <c r="AG629" s="84"/>
    </row>
    <row r="630" spans="33:33" x14ac:dyDescent="0.3">
      <c r="AG630" s="84"/>
    </row>
    <row r="631" spans="33:33" x14ac:dyDescent="0.3">
      <c r="AG631" s="84"/>
    </row>
    <row r="632" spans="33:33" x14ac:dyDescent="0.3">
      <c r="AG632" s="84"/>
    </row>
    <row r="633" spans="33:33" x14ac:dyDescent="0.3">
      <c r="AG633" s="84"/>
    </row>
    <row r="634" spans="33:33" x14ac:dyDescent="0.3">
      <c r="AG634" s="84"/>
    </row>
    <row r="635" spans="33:33" x14ac:dyDescent="0.3">
      <c r="AG635" s="84"/>
    </row>
    <row r="636" spans="33:33" x14ac:dyDescent="0.3">
      <c r="AG636" s="84"/>
    </row>
    <row r="637" spans="33:33" x14ac:dyDescent="0.3">
      <c r="AG637" s="84"/>
    </row>
    <row r="638" spans="33:33" x14ac:dyDescent="0.3">
      <c r="AG638" s="84"/>
    </row>
    <row r="639" spans="33:33" x14ac:dyDescent="0.3">
      <c r="AG639" s="84"/>
    </row>
    <row r="640" spans="33:33" x14ac:dyDescent="0.3">
      <c r="AG640" s="84"/>
    </row>
    <row r="641" spans="33:33" x14ac:dyDescent="0.3">
      <c r="AG641" s="84"/>
    </row>
    <row r="642" spans="33:33" x14ac:dyDescent="0.3">
      <c r="AG642" s="84"/>
    </row>
    <row r="643" spans="33:33" x14ac:dyDescent="0.3">
      <c r="AG643" s="84"/>
    </row>
    <row r="644" spans="33:33" x14ac:dyDescent="0.3">
      <c r="AG644" s="84"/>
    </row>
    <row r="645" spans="33:33" x14ac:dyDescent="0.3">
      <c r="AG645" s="84"/>
    </row>
    <row r="646" spans="33:33" x14ac:dyDescent="0.3">
      <c r="AG646" s="84"/>
    </row>
    <row r="647" spans="33:33" x14ac:dyDescent="0.3">
      <c r="AG647" s="84"/>
    </row>
    <row r="648" spans="33:33" x14ac:dyDescent="0.3">
      <c r="AG648" s="84"/>
    </row>
    <row r="649" spans="33:33" x14ac:dyDescent="0.3">
      <c r="AG649" s="84"/>
    </row>
    <row r="650" spans="33:33" x14ac:dyDescent="0.3">
      <c r="AG650" s="84"/>
    </row>
    <row r="651" spans="33:33" x14ac:dyDescent="0.3">
      <c r="AG651" s="84"/>
    </row>
    <row r="652" spans="33:33" x14ac:dyDescent="0.3">
      <c r="AG652" s="84"/>
    </row>
    <row r="653" spans="33:33" x14ac:dyDescent="0.3">
      <c r="AG653" s="84"/>
    </row>
    <row r="654" spans="33:33" x14ac:dyDescent="0.3">
      <c r="AG654" s="84"/>
    </row>
    <row r="655" spans="33:33" x14ac:dyDescent="0.3">
      <c r="AG655" s="84"/>
    </row>
    <row r="656" spans="33:33" x14ac:dyDescent="0.3">
      <c r="AG656" s="84"/>
    </row>
    <row r="657" spans="33:33" x14ac:dyDescent="0.3">
      <c r="AG657" s="84"/>
    </row>
    <row r="658" spans="33:33" x14ac:dyDescent="0.3">
      <c r="AG658" s="84"/>
    </row>
    <row r="659" spans="33:33" x14ac:dyDescent="0.3">
      <c r="AG659" s="84"/>
    </row>
    <row r="660" spans="33:33" x14ac:dyDescent="0.3">
      <c r="AG660" s="84"/>
    </row>
    <row r="661" spans="33:33" x14ac:dyDescent="0.3">
      <c r="AG661" s="84"/>
    </row>
    <row r="662" spans="33:33" x14ac:dyDescent="0.3">
      <c r="AG662" s="84"/>
    </row>
    <row r="663" spans="33:33" x14ac:dyDescent="0.3">
      <c r="AG663" s="84"/>
    </row>
    <row r="664" spans="33:33" x14ac:dyDescent="0.3">
      <c r="AG664" s="84"/>
    </row>
    <row r="665" spans="33:33" x14ac:dyDescent="0.3">
      <c r="AG665" s="84"/>
    </row>
    <row r="666" spans="33:33" x14ac:dyDescent="0.3">
      <c r="AG666" s="84"/>
    </row>
    <row r="667" spans="33:33" x14ac:dyDescent="0.3">
      <c r="AG667" s="84"/>
    </row>
    <row r="668" spans="33:33" x14ac:dyDescent="0.3">
      <c r="AG668" s="84"/>
    </row>
    <row r="669" spans="33:33" x14ac:dyDescent="0.3">
      <c r="AG669" s="84"/>
    </row>
    <row r="670" spans="33:33" x14ac:dyDescent="0.3">
      <c r="AG670" s="84"/>
    </row>
    <row r="671" spans="33:33" x14ac:dyDescent="0.3">
      <c r="AG671" s="84"/>
    </row>
    <row r="672" spans="33:33" x14ac:dyDescent="0.3">
      <c r="AG672" s="84"/>
    </row>
    <row r="673" spans="33:33" x14ac:dyDescent="0.3">
      <c r="AG673" s="84"/>
    </row>
    <row r="674" spans="33:33" x14ac:dyDescent="0.3">
      <c r="AG674" s="84"/>
    </row>
    <row r="675" spans="33:33" x14ac:dyDescent="0.3">
      <c r="AG675" s="84"/>
    </row>
    <row r="676" spans="33:33" x14ac:dyDescent="0.3">
      <c r="AG676" s="84"/>
    </row>
    <row r="677" spans="33:33" x14ac:dyDescent="0.3">
      <c r="AG677" s="84"/>
    </row>
    <row r="678" spans="33:33" x14ac:dyDescent="0.3">
      <c r="AG678" s="84"/>
    </row>
    <row r="679" spans="33:33" x14ac:dyDescent="0.3">
      <c r="AG679" s="84"/>
    </row>
    <row r="680" spans="33:33" x14ac:dyDescent="0.3">
      <c r="AG680" s="84"/>
    </row>
    <row r="681" spans="33:33" x14ac:dyDescent="0.3">
      <c r="AG681" s="84"/>
    </row>
    <row r="682" spans="33:33" x14ac:dyDescent="0.3">
      <c r="AG682" s="84"/>
    </row>
    <row r="683" spans="33:33" x14ac:dyDescent="0.3">
      <c r="AG683" s="84"/>
    </row>
    <row r="684" spans="33:33" x14ac:dyDescent="0.3">
      <c r="AG684" s="84"/>
    </row>
    <row r="685" spans="33:33" x14ac:dyDescent="0.3">
      <c r="AG685" s="84"/>
    </row>
    <row r="686" spans="33:33" x14ac:dyDescent="0.3">
      <c r="AG686" s="84"/>
    </row>
    <row r="687" spans="33:33" x14ac:dyDescent="0.3">
      <c r="AG687" s="84"/>
    </row>
    <row r="688" spans="33:33" x14ac:dyDescent="0.3">
      <c r="AG688" s="84"/>
    </row>
    <row r="689" spans="33:33" x14ac:dyDescent="0.3">
      <c r="AG689" s="84"/>
    </row>
    <row r="690" spans="33:33" x14ac:dyDescent="0.3">
      <c r="AG690" s="84"/>
    </row>
    <row r="691" spans="33:33" x14ac:dyDescent="0.3">
      <c r="AG691" s="84"/>
    </row>
    <row r="692" spans="33:33" x14ac:dyDescent="0.3">
      <c r="AG692" s="84"/>
    </row>
    <row r="693" spans="33:33" x14ac:dyDescent="0.3">
      <c r="AG693" s="84"/>
    </row>
    <row r="694" spans="33:33" x14ac:dyDescent="0.3">
      <c r="AG694" s="84"/>
    </row>
    <row r="695" spans="33:33" x14ac:dyDescent="0.3">
      <c r="AG695" s="84"/>
    </row>
    <row r="696" spans="33:33" x14ac:dyDescent="0.3">
      <c r="AG696" s="84"/>
    </row>
    <row r="697" spans="33:33" x14ac:dyDescent="0.3">
      <c r="AG697" s="84"/>
    </row>
    <row r="698" spans="33:33" x14ac:dyDescent="0.3">
      <c r="AG698" s="84"/>
    </row>
    <row r="699" spans="33:33" x14ac:dyDescent="0.3">
      <c r="AG699" s="84"/>
    </row>
    <row r="700" spans="33:33" x14ac:dyDescent="0.3">
      <c r="AG700" s="84"/>
    </row>
    <row r="701" spans="33:33" x14ac:dyDescent="0.3">
      <c r="AG701" s="84"/>
    </row>
    <row r="702" spans="33:33" x14ac:dyDescent="0.3">
      <c r="AG702" s="84"/>
    </row>
    <row r="703" spans="33:33" x14ac:dyDescent="0.3">
      <c r="AG703" s="84"/>
    </row>
    <row r="704" spans="33:33" x14ac:dyDescent="0.3">
      <c r="AG704" s="84"/>
    </row>
    <row r="705" spans="33:33" x14ac:dyDescent="0.3">
      <c r="AG705" s="84"/>
    </row>
    <row r="706" spans="33:33" x14ac:dyDescent="0.3">
      <c r="AG706" s="84"/>
    </row>
    <row r="707" spans="33:33" x14ac:dyDescent="0.3">
      <c r="AG707" s="84"/>
    </row>
    <row r="708" spans="33:33" x14ac:dyDescent="0.3">
      <c r="AG708" s="84"/>
    </row>
    <row r="709" spans="33:33" x14ac:dyDescent="0.3">
      <c r="AG709" s="84"/>
    </row>
    <row r="710" spans="33:33" x14ac:dyDescent="0.3">
      <c r="AG710" s="84"/>
    </row>
    <row r="711" spans="33:33" x14ac:dyDescent="0.3">
      <c r="AG711" s="84"/>
    </row>
    <row r="712" spans="33:33" x14ac:dyDescent="0.3">
      <c r="AG712" s="84"/>
    </row>
    <row r="713" spans="33:33" x14ac:dyDescent="0.3">
      <c r="AG713" s="84"/>
    </row>
    <row r="714" spans="33:33" x14ac:dyDescent="0.3">
      <c r="AG714" s="84"/>
    </row>
    <row r="715" spans="33:33" x14ac:dyDescent="0.3">
      <c r="AG715" s="84"/>
    </row>
    <row r="716" spans="33:33" x14ac:dyDescent="0.3">
      <c r="AG716" s="84"/>
    </row>
    <row r="717" spans="33:33" x14ac:dyDescent="0.3">
      <c r="AG717" s="84"/>
    </row>
    <row r="718" spans="33:33" x14ac:dyDescent="0.3">
      <c r="AG718" s="84"/>
    </row>
    <row r="719" spans="33:33" x14ac:dyDescent="0.3">
      <c r="AG719" s="84"/>
    </row>
    <row r="720" spans="33:33" x14ac:dyDescent="0.3">
      <c r="AG720" s="84"/>
    </row>
    <row r="721" spans="33:33" x14ac:dyDescent="0.3">
      <c r="AG721" s="84"/>
    </row>
    <row r="722" spans="33:33" x14ac:dyDescent="0.3">
      <c r="AG722" s="84"/>
    </row>
    <row r="723" spans="33:33" x14ac:dyDescent="0.3">
      <c r="AG723" s="84"/>
    </row>
    <row r="724" spans="33:33" x14ac:dyDescent="0.3">
      <c r="AG724" s="84"/>
    </row>
    <row r="725" spans="33:33" x14ac:dyDescent="0.3">
      <c r="AG725" s="84"/>
    </row>
    <row r="726" spans="33:33" x14ac:dyDescent="0.3">
      <c r="AG726" s="84"/>
    </row>
    <row r="727" spans="33:33" x14ac:dyDescent="0.3">
      <c r="AG727" s="84"/>
    </row>
    <row r="728" spans="33:33" x14ac:dyDescent="0.3">
      <c r="AG728" s="84"/>
    </row>
    <row r="729" spans="33:33" x14ac:dyDescent="0.3">
      <c r="AG729" s="84"/>
    </row>
    <row r="730" spans="33:33" x14ac:dyDescent="0.3">
      <c r="AG730" s="84"/>
    </row>
    <row r="731" spans="33:33" x14ac:dyDescent="0.3">
      <c r="AG731" s="84"/>
    </row>
    <row r="732" spans="33:33" x14ac:dyDescent="0.3">
      <c r="AG732" s="84"/>
    </row>
    <row r="733" spans="33:33" x14ac:dyDescent="0.3">
      <c r="AG733" s="84"/>
    </row>
    <row r="734" spans="33:33" x14ac:dyDescent="0.3">
      <c r="AG734" s="84"/>
    </row>
    <row r="735" spans="33:33" x14ac:dyDescent="0.3">
      <c r="AG735" s="84"/>
    </row>
    <row r="736" spans="33:33" x14ac:dyDescent="0.3">
      <c r="AG736" s="84"/>
    </row>
    <row r="737" spans="33:33" x14ac:dyDescent="0.3">
      <c r="AG737" s="84"/>
    </row>
    <row r="738" spans="33:33" x14ac:dyDescent="0.3">
      <c r="AG738" s="84"/>
    </row>
    <row r="739" spans="33:33" x14ac:dyDescent="0.3">
      <c r="AG739" s="84"/>
    </row>
    <row r="740" spans="33:33" x14ac:dyDescent="0.3">
      <c r="AG740" s="84"/>
    </row>
    <row r="741" spans="33:33" x14ac:dyDescent="0.3">
      <c r="AG741" s="84"/>
    </row>
    <row r="742" spans="33:33" x14ac:dyDescent="0.3">
      <c r="AG742" s="84"/>
    </row>
    <row r="743" spans="33:33" x14ac:dyDescent="0.3">
      <c r="AG743" s="84"/>
    </row>
    <row r="744" spans="33:33" x14ac:dyDescent="0.3">
      <c r="AG744" s="84"/>
    </row>
    <row r="745" spans="33:33" x14ac:dyDescent="0.3">
      <c r="AG745" s="84"/>
    </row>
    <row r="746" spans="33:33" x14ac:dyDescent="0.3">
      <c r="AG746" s="84"/>
    </row>
    <row r="747" spans="33:33" x14ac:dyDescent="0.3">
      <c r="AG747" s="84"/>
    </row>
    <row r="748" spans="33:33" x14ac:dyDescent="0.3">
      <c r="AG748" s="84"/>
    </row>
    <row r="749" spans="33:33" x14ac:dyDescent="0.3">
      <c r="AG749" s="84"/>
    </row>
    <row r="750" spans="33:33" x14ac:dyDescent="0.3">
      <c r="AG750" s="84"/>
    </row>
    <row r="751" spans="33:33" x14ac:dyDescent="0.3">
      <c r="AG751" s="84"/>
    </row>
    <row r="752" spans="33:33" x14ac:dyDescent="0.3">
      <c r="AG752" s="84"/>
    </row>
    <row r="753" spans="33:33" x14ac:dyDescent="0.3">
      <c r="AG753" s="84"/>
    </row>
    <row r="754" spans="33:33" x14ac:dyDescent="0.3">
      <c r="AG754" s="84"/>
    </row>
    <row r="755" spans="33:33" x14ac:dyDescent="0.3">
      <c r="AG755" s="84"/>
    </row>
    <row r="756" spans="33:33" x14ac:dyDescent="0.3">
      <c r="AG756" s="84"/>
    </row>
    <row r="757" spans="33:33" x14ac:dyDescent="0.3">
      <c r="AG757" s="84"/>
    </row>
    <row r="758" spans="33:33" x14ac:dyDescent="0.3">
      <c r="AG758" s="84"/>
    </row>
    <row r="759" spans="33:33" x14ac:dyDescent="0.3">
      <c r="AG759" s="84"/>
    </row>
    <row r="760" spans="33:33" x14ac:dyDescent="0.3">
      <c r="AG760" s="84"/>
    </row>
    <row r="761" spans="33:33" x14ac:dyDescent="0.3">
      <c r="AG761" s="84"/>
    </row>
    <row r="762" spans="33:33" x14ac:dyDescent="0.3">
      <c r="AG762" s="84"/>
    </row>
    <row r="763" spans="33:33" x14ac:dyDescent="0.3">
      <c r="AG763" s="84"/>
    </row>
    <row r="764" spans="33:33" x14ac:dyDescent="0.3">
      <c r="AG764" s="84"/>
    </row>
    <row r="765" spans="33:33" x14ac:dyDescent="0.3">
      <c r="AG765" s="84"/>
    </row>
    <row r="766" spans="33:33" x14ac:dyDescent="0.3">
      <c r="AG766" s="84"/>
    </row>
    <row r="767" spans="33:33" x14ac:dyDescent="0.3">
      <c r="AG767" s="84"/>
    </row>
    <row r="768" spans="33:33" x14ac:dyDescent="0.3">
      <c r="AG768" s="84"/>
    </row>
    <row r="769" spans="33:33" x14ac:dyDescent="0.3">
      <c r="AG769" s="84"/>
    </row>
    <row r="770" spans="33:33" x14ac:dyDescent="0.3">
      <c r="AG770" s="84"/>
    </row>
    <row r="771" spans="33:33" x14ac:dyDescent="0.3">
      <c r="AG771" s="84"/>
    </row>
    <row r="772" spans="33:33" x14ac:dyDescent="0.3">
      <c r="AG772" s="84"/>
    </row>
    <row r="773" spans="33:33" x14ac:dyDescent="0.3">
      <c r="AG773" s="84"/>
    </row>
    <row r="774" spans="33:33" x14ac:dyDescent="0.3">
      <c r="AG774" s="84"/>
    </row>
    <row r="775" spans="33:33" x14ac:dyDescent="0.3">
      <c r="AG775" s="84"/>
    </row>
    <row r="776" spans="33:33" x14ac:dyDescent="0.3">
      <c r="AG776" s="84"/>
    </row>
    <row r="777" spans="33:33" x14ac:dyDescent="0.3">
      <c r="AG777" s="84"/>
    </row>
    <row r="778" spans="33:33" x14ac:dyDescent="0.3">
      <c r="AG778" s="84"/>
    </row>
    <row r="779" spans="33:33" x14ac:dyDescent="0.3">
      <c r="AG779" s="84"/>
    </row>
    <row r="780" spans="33:33" x14ac:dyDescent="0.3">
      <c r="AG780" s="84"/>
    </row>
    <row r="781" spans="33:33" x14ac:dyDescent="0.3">
      <c r="AG781" s="84"/>
    </row>
    <row r="782" spans="33:33" x14ac:dyDescent="0.3">
      <c r="AG782" s="84"/>
    </row>
    <row r="783" spans="33:33" x14ac:dyDescent="0.3">
      <c r="AG783" s="84"/>
    </row>
    <row r="784" spans="33:33" x14ac:dyDescent="0.3">
      <c r="AG784" s="84"/>
    </row>
    <row r="785" spans="33:33" x14ac:dyDescent="0.3">
      <c r="AG785" s="84"/>
    </row>
    <row r="786" spans="33:33" x14ac:dyDescent="0.3">
      <c r="AG786" s="84"/>
    </row>
    <row r="787" spans="33:33" x14ac:dyDescent="0.3">
      <c r="AG787" s="84"/>
    </row>
    <row r="788" spans="33:33" x14ac:dyDescent="0.3">
      <c r="AG788" s="84"/>
    </row>
    <row r="789" spans="33:33" x14ac:dyDescent="0.3">
      <c r="AG789" s="84"/>
    </row>
    <row r="790" spans="33:33" x14ac:dyDescent="0.3">
      <c r="AG790" s="84"/>
    </row>
    <row r="791" spans="33:33" x14ac:dyDescent="0.3">
      <c r="AG791" s="84"/>
    </row>
    <row r="792" spans="33:33" x14ac:dyDescent="0.3">
      <c r="AG792" s="84"/>
    </row>
    <row r="793" spans="33:33" x14ac:dyDescent="0.3">
      <c r="AG793" s="84"/>
    </row>
    <row r="794" spans="33:33" x14ac:dyDescent="0.3">
      <c r="AG794" s="84"/>
    </row>
    <row r="795" spans="33:33" x14ac:dyDescent="0.3">
      <c r="AG795" s="84"/>
    </row>
    <row r="796" spans="33:33" x14ac:dyDescent="0.3">
      <c r="AG796" s="84"/>
    </row>
    <row r="797" spans="33:33" x14ac:dyDescent="0.3">
      <c r="AG797" s="84"/>
    </row>
    <row r="798" spans="33:33" x14ac:dyDescent="0.3">
      <c r="AG798" s="84"/>
    </row>
    <row r="799" spans="33:33" x14ac:dyDescent="0.3">
      <c r="AG799" s="84"/>
    </row>
    <row r="800" spans="33:33" x14ac:dyDescent="0.3">
      <c r="AG800" s="84"/>
    </row>
    <row r="801" spans="33:33" x14ac:dyDescent="0.3">
      <c r="AG801" s="84"/>
    </row>
    <row r="802" spans="33:33" x14ac:dyDescent="0.3">
      <c r="AG802" s="84"/>
    </row>
    <row r="803" spans="33:33" x14ac:dyDescent="0.3">
      <c r="AG803" s="84"/>
    </row>
    <row r="804" spans="33:33" x14ac:dyDescent="0.3">
      <c r="AG804" s="84"/>
    </row>
    <row r="805" spans="33:33" x14ac:dyDescent="0.3">
      <c r="AG805" s="84"/>
    </row>
    <row r="806" spans="33:33" x14ac:dyDescent="0.3">
      <c r="AG806" s="84"/>
    </row>
    <row r="807" spans="33:33" x14ac:dyDescent="0.3">
      <c r="AG807" s="84"/>
    </row>
    <row r="808" spans="33:33" x14ac:dyDescent="0.3">
      <c r="AG808" s="84"/>
    </row>
    <row r="809" spans="33:33" x14ac:dyDescent="0.3">
      <c r="AG809" s="84"/>
    </row>
    <row r="810" spans="33:33" x14ac:dyDescent="0.3">
      <c r="AG810" s="84"/>
    </row>
    <row r="811" spans="33:33" x14ac:dyDescent="0.3">
      <c r="AG811" s="84"/>
    </row>
    <row r="812" spans="33:33" x14ac:dyDescent="0.3">
      <c r="AG812" s="84"/>
    </row>
    <row r="813" spans="33:33" x14ac:dyDescent="0.3">
      <c r="AG813" s="84"/>
    </row>
    <row r="814" spans="33:33" x14ac:dyDescent="0.3">
      <c r="AG814" s="84"/>
    </row>
    <row r="815" spans="33:33" x14ac:dyDescent="0.3">
      <c r="AG815" s="84"/>
    </row>
    <row r="816" spans="33:33" x14ac:dyDescent="0.3">
      <c r="AG816" s="84"/>
    </row>
    <row r="817" spans="33:33" x14ac:dyDescent="0.3">
      <c r="AG817" s="84"/>
    </row>
    <row r="818" spans="33:33" x14ac:dyDescent="0.3">
      <c r="AG818" s="84"/>
    </row>
    <row r="819" spans="33:33" x14ac:dyDescent="0.3">
      <c r="AG819" s="84"/>
    </row>
    <row r="820" spans="33:33" x14ac:dyDescent="0.3">
      <c r="AG820" s="84"/>
    </row>
    <row r="821" spans="33:33" x14ac:dyDescent="0.3">
      <c r="AG821" s="84"/>
    </row>
    <row r="822" spans="33:33" x14ac:dyDescent="0.3">
      <c r="AG822" s="84"/>
    </row>
    <row r="823" spans="33:33" x14ac:dyDescent="0.3">
      <c r="AG823" s="84"/>
    </row>
    <row r="824" spans="33:33" x14ac:dyDescent="0.3">
      <c r="AG824" s="84"/>
    </row>
    <row r="825" spans="33:33" x14ac:dyDescent="0.3">
      <c r="AG825" s="84"/>
    </row>
    <row r="826" spans="33:33" x14ac:dyDescent="0.3">
      <c r="AG826" s="84"/>
    </row>
    <row r="827" spans="33:33" x14ac:dyDescent="0.3">
      <c r="AG827" s="84"/>
    </row>
    <row r="828" spans="33:33" x14ac:dyDescent="0.3">
      <c r="AG828" s="84"/>
    </row>
    <row r="829" spans="33:33" x14ac:dyDescent="0.3">
      <c r="AG829" s="84"/>
    </row>
    <row r="830" spans="33:33" x14ac:dyDescent="0.3">
      <c r="AG830" s="84"/>
    </row>
    <row r="831" spans="33:33" x14ac:dyDescent="0.3">
      <c r="AG831" s="84"/>
    </row>
    <row r="832" spans="33:33" x14ac:dyDescent="0.3">
      <c r="AG832" s="84"/>
    </row>
    <row r="833" spans="33:33" x14ac:dyDescent="0.3">
      <c r="AG833" s="84"/>
    </row>
    <row r="834" spans="33:33" x14ac:dyDescent="0.3">
      <c r="AG834" s="84"/>
    </row>
    <row r="835" spans="33:33" x14ac:dyDescent="0.3">
      <c r="AG835" s="84"/>
    </row>
    <row r="836" spans="33:33" x14ac:dyDescent="0.3">
      <c r="AG836" s="84"/>
    </row>
    <row r="837" spans="33:33" x14ac:dyDescent="0.3">
      <c r="AG837" s="84"/>
    </row>
    <row r="838" spans="33:33" x14ac:dyDescent="0.3">
      <c r="AG838" s="84"/>
    </row>
    <row r="839" spans="33:33" x14ac:dyDescent="0.3">
      <c r="AG839" s="84"/>
    </row>
    <row r="840" spans="33:33" x14ac:dyDescent="0.3">
      <c r="AG840" s="84"/>
    </row>
    <row r="841" spans="33:33" x14ac:dyDescent="0.3">
      <c r="AG841" s="84"/>
    </row>
    <row r="842" spans="33:33" x14ac:dyDescent="0.3">
      <c r="AG842" s="84"/>
    </row>
    <row r="843" spans="33:33" x14ac:dyDescent="0.3">
      <c r="AG843" s="84"/>
    </row>
    <row r="844" spans="33:33" x14ac:dyDescent="0.3">
      <c r="AG844" s="84"/>
    </row>
    <row r="845" spans="33:33" x14ac:dyDescent="0.3">
      <c r="AG845" s="84"/>
    </row>
    <row r="846" spans="33:33" x14ac:dyDescent="0.3">
      <c r="AG846" s="84"/>
    </row>
    <row r="847" spans="33:33" x14ac:dyDescent="0.3">
      <c r="AG847" s="84"/>
    </row>
    <row r="848" spans="33:33" x14ac:dyDescent="0.3">
      <c r="AG848" s="84"/>
    </row>
    <row r="849" spans="33:33" x14ac:dyDescent="0.3">
      <c r="AG849" s="84"/>
    </row>
    <row r="850" spans="33:33" x14ac:dyDescent="0.3">
      <c r="AG850" s="84"/>
    </row>
    <row r="851" spans="33:33" x14ac:dyDescent="0.3">
      <c r="AG851" s="84"/>
    </row>
    <row r="852" spans="33:33" x14ac:dyDescent="0.3">
      <c r="AG852" s="84"/>
    </row>
    <row r="853" spans="33:33" x14ac:dyDescent="0.3">
      <c r="AG853" s="84"/>
    </row>
    <row r="854" spans="33:33" x14ac:dyDescent="0.3">
      <c r="AG854" s="84"/>
    </row>
    <row r="855" spans="33:33" x14ac:dyDescent="0.3">
      <c r="AG855" s="84"/>
    </row>
    <row r="856" spans="33:33" x14ac:dyDescent="0.3">
      <c r="AG856" s="84"/>
    </row>
    <row r="857" spans="33:33" x14ac:dyDescent="0.3">
      <c r="AG857" s="84"/>
    </row>
    <row r="858" spans="33:33" x14ac:dyDescent="0.3">
      <c r="AG858" s="84"/>
    </row>
    <row r="859" spans="33:33" x14ac:dyDescent="0.3">
      <c r="AG859" s="84"/>
    </row>
    <row r="860" spans="33:33" x14ac:dyDescent="0.3">
      <c r="AG860" s="84"/>
    </row>
    <row r="861" spans="33:33" x14ac:dyDescent="0.3">
      <c r="AG861" s="84"/>
    </row>
    <row r="862" spans="33:33" x14ac:dyDescent="0.3">
      <c r="AG862" s="84"/>
    </row>
    <row r="863" spans="33:33" x14ac:dyDescent="0.3">
      <c r="AG863" s="84"/>
    </row>
    <row r="864" spans="33:33" x14ac:dyDescent="0.3">
      <c r="AG864" s="84"/>
    </row>
    <row r="865" spans="33:33" x14ac:dyDescent="0.3">
      <c r="AG865" s="84"/>
    </row>
    <row r="866" spans="33:33" x14ac:dyDescent="0.3">
      <c r="AG866" s="84"/>
    </row>
    <row r="867" spans="33:33" x14ac:dyDescent="0.3">
      <c r="AG867" s="84"/>
    </row>
    <row r="868" spans="33:33" x14ac:dyDescent="0.3">
      <c r="AG868" s="84"/>
    </row>
    <row r="869" spans="33:33" x14ac:dyDescent="0.3">
      <c r="AG869" s="84"/>
    </row>
    <row r="870" spans="33:33" x14ac:dyDescent="0.3">
      <c r="AG870" s="84"/>
    </row>
    <row r="871" spans="33:33" x14ac:dyDescent="0.3">
      <c r="AG871" s="84"/>
    </row>
    <row r="872" spans="33:33" x14ac:dyDescent="0.3">
      <c r="AG872" s="84"/>
    </row>
    <row r="873" spans="33:33" x14ac:dyDescent="0.3">
      <c r="AG873" s="84"/>
    </row>
    <row r="874" spans="33:33" x14ac:dyDescent="0.3">
      <c r="AG874" s="84"/>
    </row>
    <row r="875" spans="33:33" x14ac:dyDescent="0.3">
      <c r="AG875" s="84"/>
    </row>
    <row r="876" spans="33:33" x14ac:dyDescent="0.3">
      <c r="AG876" s="84"/>
    </row>
    <row r="877" spans="33:33" x14ac:dyDescent="0.3">
      <c r="AG877" s="84"/>
    </row>
    <row r="878" spans="33:33" x14ac:dyDescent="0.3">
      <c r="AG878" s="84"/>
    </row>
    <row r="879" spans="33:33" x14ac:dyDescent="0.3">
      <c r="AG879" s="84"/>
    </row>
    <row r="880" spans="33:33" x14ac:dyDescent="0.3">
      <c r="AG880" s="84"/>
    </row>
    <row r="881" spans="33:33" x14ac:dyDescent="0.3">
      <c r="AG881" s="84"/>
    </row>
    <row r="882" spans="33:33" x14ac:dyDescent="0.3">
      <c r="AG882" s="84"/>
    </row>
    <row r="883" spans="33:33" x14ac:dyDescent="0.3">
      <c r="AG883" s="84"/>
    </row>
    <row r="884" spans="33:33" x14ac:dyDescent="0.3">
      <c r="AG884" s="84"/>
    </row>
    <row r="885" spans="33:33" x14ac:dyDescent="0.3">
      <c r="AG885" s="84"/>
    </row>
    <row r="886" spans="33:33" x14ac:dyDescent="0.3">
      <c r="AG886" s="84"/>
    </row>
    <row r="887" spans="33:33" x14ac:dyDescent="0.3">
      <c r="AG887" s="84"/>
    </row>
    <row r="888" spans="33:33" x14ac:dyDescent="0.3">
      <c r="AG888" s="84"/>
    </row>
    <row r="889" spans="33:33" x14ac:dyDescent="0.3">
      <c r="AG889" s="84"/>
    </row>
    <row r="890" spans="33:33" x14ac:dyDescent="0.3">
      <c r="AG890" s="84"/>
    </row>
    <row r="891" spans="33:33" x14ac:dyDescent="0.3">
      <c r="AG891" s="84"/>
    </row>
    <row r="892" spans="33:33" x14ac:dyDescent="0.3">
      <c r="AG892" s="84"/>
    </row>
    <row r="893" spans="33:33" x14ac:dyDescent="0.3">
      <c r="AG893" s="84"/>
    </row>
    <row r="894" spans="33:33" x14ac:dyDescent="0.3">
      <c r="AG894" s="84"/>
    </row>
    <row r="895" spans="33:33" x14ac:dyDescent="0.3">
      <c r="AG895" s="84"/>
    </row>
    <row r="896" spans="33:33" x14ac:dyDescent="0.3">
      <c r="AG896" s="84"/>
    </row>
    <row r="897" spans="33:33" x14ac:dyDescent="0.3">
      <c r="AG897" s="84"/>
    </row>
    <row r="898" spans="33:33" x14ac:dyDescent="0.3">
      <c r="AG898" s="84"/>
    </row>
    <row r="899" spans="33:33" x14ac:dyDescent="0.3">
      <c r="AG899" s="84"/>
    </row>
    <row r="900" spans="33:33" x14ac:dyDescent="0.3">
      <c r="AG900" s="84"/>
    </row>
    <row r="901" spans="33:33" x14ac:dyDescent="0.3">
      <c r="AG901" s="84"/>
    </row>
    <row r="902" spans="33:33" x14ac:dyDescent="0.3">
      <c r="AG902" s="84"/>
    </row>
    <row r="903" spans="33:33" x14ac:dyDescent="0.3">
      <c r="AG903" s="84"/>
    </row>
    <row r="904" spans="33:33" x14ac:dyDescent="0.3">
      <c r="AG904" s="84"/>
    </row>
    <row r="905" spans="33:33" x14ac:dyDescent="0.3">
      <c r="AG905" s="84"/>
    </row>
    <row r="906" spans="33:33" x14ac:dyDescent="0.3">
      <c r="AG906" s="84"/>
    </row>
    <row r="907" spans="33:33" x14ac:dyDescent="0.3">
      <c r="AG907" s="84"/>
    </row>
    <row r="908" spans="33:33" x14ac:dyDescent="0.3">
      <c r="AG908" s="84"/>
    </row>
    <row r="909" spans="33:33" x14ac:dyDescent="0.3">
      <c r="AG909" s="84"/>
    </row>
    <row r="910" spans="33:33" x14ac:dyDescent="0.3">
      <c r="AG910" s="84"/>
    </row>
    <row r="911" spans="33:33" x14ac:dyDescent="0.3">
      <c r="AG911" s="84"/>
    </row>
    <row r="912" spans="33:33" x14ac:dyDescent="0.3">
      <c r="AG912" s="84"/>
    </row>
    <row r="913" spans="33:33" x14ac:dyDescent="0.3">
      <c r="AG913" s="84"/>
    </row>
    <row r="914" spans="33:33" x14ac:dyDescent="0.3">
      <c r="AG914" s="84"/>
    </row>
    <row r="915" spans="33:33" x14ac:dyDescent="0.3">
      <c r="AG915" s="84"/>
    </row>
    <row r="916" spans="33:33" x14ac:dyDescent="0.3">
      <c r="AG916" s="84"/>
    </row>
    <row r="917" spans="33:33" x14ac:dyDescent="0.3">
      <c r="AG917" s="84"/>
    </row>
    <row r="918" spans="33:33" x14ac:dyDescent="0.3">
      <c r="AG918" s="84"/>
    </row>
    <row r="919" spans="33:33" x14ac:dyDescent="0.3">
      <c r="AG919" s="84"/>
    </row>
    <row r="920" spans="33:33" x14ac:dyDescent="0.3">
      <c r="AG920" s="84"/>
    </row>
    <row r="921" spans="33:33" x14ac:dyDescent="0.3">
      <c r="AG921" s="84"/>
    </row>
    <row r="922" spans="33:33" x14ac:dyDescent="0.3">
      <c r="AG922" s="84"/>
    </row>
    <row r="923" spans="33:33" x14ac:dyDescent="0.3">
      <c r="AG923" s="84"/>
    </row>
    <row r="924" spans="33:33" x14ac:dyDescent="0.3">
      <c r="AG924" s="84"/>
    </row>
    <row r="925" spans="33:33" x14ac:dyDescent="0.3">
      <c r="AG925" s="84"/>
    </row>
    <row r="926" spans="33:33" x14ac:dyDescent="0.3">
      <c r="AG926" s="84"/>
    </row>
    <row r="927" spans="33:33" x14ac:dyDescent="0.3">
      <c r="AG927" s="84"/>
    </row>
    <row r="928" spans="33:33" x14ac:dyDescent="0.3">
      <c r="AG928" s="84"/>
    </row>
    <row r="929" spans="33:33" x14ac:dyDescent="0.3">
      <c r="AG929" s="84"/>
    </row>
    <row r="930" spans="33:33" x14ac:dyDescent="0.3">
      <c r="AG930" s="84"/>
    </row>
    <row r="931" spans="33:33" x14ac:dyDescent="0.3">
      <c r="AG931" s="84"/>
    </row>
    <row r="932" spans="33:33" x14ac:dyDescent="0.3">
      <c r="AG932" s="84"/>
    </row>
    <row r="933" spans="33:33" x14ac:dyDescent="0.3">
      <c r="AG933" s="84"/>
    </row>
    <row r="934" spans="33:33" x14ac:dyDescent="0.3">
      <c r="AG934" s="84"/>
    </row>
    <row r="935" spans="33:33" x14ac:dyDescent="0.3">
      <c r="AG935" s="84"/>
    </row>
    <row r="936" spans="33:33" x14ac:dyDescent="0.3">
      <c r="AG936" s="84"/>
    </row>
    <row r="937" spans="33:33" x14ac:dyDescent="0.3">
      <c r="AG937" s="84"/>
    </row>
    <row r="938" spans="33:33" x14ac:dyDescent="0.3">
      <c r="AG938" s="84"/>
    </row>
    <row r="939" spans="33:33" x14ac:dyDescent="0.3">
      <c r="AG939" s="84"/>
    </row>
    <row r="940" spans="33:33" x14ac:dyDescent="0.3">
      <c r="AG940" s="84"/>
    </row>
    <row r="941" spans="33:33" x14ac:dyDescent="0.3">
      <c r="AG941" s="84"/>
    </row>
    <row r="942" spans="33:33" x14ac:dyDescent="0.3">
      <c r="AG942" s="84"/>
    </row>
    <row r="943" spans="33:33" x14ac:dyDescent="0.3">
      <c r="AG943" s="84"/>
    </row>
    <row r="944" spans="33:33" x14ac:dyDescent="0.3">
      <c r="AG944" s="84"/>
    </row>
    <row r="945" spans="33:33" x14ac:dyDescent="0.3">
      <c r="AG945" s="84"/>
    </row>
    <row r="946" spans="33:33" x14ac:dyDescent="0.3">
      <c r="AG946" s="84"/>
    </row>
    <row r="947" spans="33:33" x14ac:dyDescent="0.3">
      <c r="AG947" s="84"/>
    </row>
    <row r="948" spans="33:33" x14ac:dyDescent="0.3">
      <c r="AG948" s="84"/>
    </row>
    <row r="949" spans="33:33" x14ac:dyDescent="0.3">
      <c r="AG949" s="84"/>
    </row>
    <row r="950" spans="33:33" x14ac:dyDescent="0.3">
      <c r="AG950" s="84"/>
    </row>
    <row r="951" spans="33:33" x14ac:dyDescent="0.3">
      <c r="AG951" s="84"/>
    </row>
    <row r="952" spans="33:33" x14ac:dyDescent="0.3">
      <c r="AG952" s="84"/>
    </row>
    <row r="953" spans="33:33" x14ac:dyDescent="0.3">
      <c r="AG953" s="84"/>
    </row>
    <row r="954" spans="33:33" x14ac:dyDescent="0.3">
      <c r="AG954" s="84"/>
    </row>
    <row r="955" spans="33:33" x14ac:dyDescent="0.3">
      <c r="AG955" s="84"/>
    </row>
    <row r="956" spans="33:33" x14ac:dyDescent="0.3">
      <c r="AG956" s="84"/>
    </row>
    <row r="957" spans="33:33" x14ac:dyDescent="0.3">
      <c r="AG957" s="84"/>
    </row>
    <row r="958" spans="33:33" x14ac:dyDescent="0.3">
      <c r="AG958" s="84"/>
    </row>
    <row r="959" spans="33:33" x14ac:dyDescent="0.3">
      <c r="AG959" s="84"/>
    </row>
    <row r="960" spans="33:33" x14ac:dyDescent="0.3">
      <c r="AG960" s="84"/>
    </row>
    <row r="961" spans="33:33" x14ac:dyDescent="0.3">
      <c r="AG961" s="84"/>
    </row>
    <row r="962" spans="33:33" x14ac:dyDescent="0.3">
      <c r="AG962" s="84"/>
    </row>
    <row r="963" spans="33:33" x14ac:dyDescent="0.3">
      <c r="AG963" s="84"/>
    </row>
    <row r="964" spans="33:33" x14ac:dyDescent="0.3">
      <c r="AG964" s="84"/>
    </row>
    <row r="965" spans="33:33" x14ac:dyDescent="0.3">
      <c r="AG965" s="84"/>
    </row>
    <row r="966" spans="33:33" x14ac:dyDescent="0.3">
      <c r="AG966" s="84"/>
    </row>
    <row r="967" spans="33:33" x14ac:dyDescent="0.3">
      <c r="AG967" s="84"/>
    </row>
    <row r="968" spans="33:33" x14ac:dyDescent="0.3">
      <c r="AG968" s="84"/>
    </row>
    <row r="969" spans="33:33" x14ac:dyDescent="0.3">
      <c r="AG969" s="84"/>
    </row>
    <row r="970" spans="33:33" x14ac:dyDescent="0.3">
      <c r="AG970" s="84"/>
    </row>
    <row r="971" spans="33:33" x14ac:dyDescent="0.3">
      <c r="AG971" s="84"/>
    </row>
    <row r="972" spans="33:33" x14ac:dyDescent="0.3">
      <c r="AG972" s="84"/>
    </row>
    <row r="973" spans="33:33" x14ac:dyDescent="0.3">
      <c r="AG973" s="84"/>
    </row>
    <row r="974" spans="33:33" x14ac:dyDescent="0.3">
      <c r="AG974" s="84"/>
    </row>
    <row r="975" spans="33:33" x14ac:dyDescent="0.3">
      <c r="AG975" s="84"/>
    </row>
    <row r="976" spans="33:33" x14ac:dyDescent="0.3">
      <c r="AG976" s="84"/>
    </row>
    <row r="977" spans="33:33" x14ac:dyDescent="0.3">
      <c r="AG977" s="84"/>
    </row>
    <row r="978" spans="33:33" x14ac:dyDescent="0.3">
      <c r="AG978" s="84"/>
    </row>
    <row r="979" spans="33:33" x14ac:dyDescent="0.3">
      <c r="AG979" s="84"/>
    </row>
    <row r="980" spans="33:33" x14ac:dyDescent="0.3">
      <c r="AG980" s="84"/>
    </row>
    <row r="981" spans="33:33" x14ac:dyDescent="0.3">
      <c r="AG981" s="84"/>
    </row>
    <row r="982" spans="33:33" x14ac:dyDescent="0.3">
      <c r="AG982" s="84"/>
    </row>
    <row r="983" spans="33:33" x14ac:dyDescent="0.3">
      <c r="AG983" s="84"/>
    </row>
    <row r="984" spans="33:33" x14ac:dyDescent="0.3">
      <c r="AG984" s="84"/>
    </row>
    <row r="985" spans="33:33" x14ac:dyDescent="0.3">
      <c r="AG985" s="84"/>
    </row>
    <row r="986" spans="33:33" x14ac:dyDescent="0.3">
      <c r="AG986" s="84"/>
    </row>
    <row r="987" spans="33:33" x14ac:dyDescent="0.3">
      <c r="AG987" s="84"/>
    </row>
    <row r="988" spans="33:33" x14ac:dyDescent="0.3">
      <c r="AG988" s="84"/>
    </row>
    <row r="989" spans="33:33" x14ac:dyDescent="0.3">
      <c r="AG989" s="84"/>
    </row>
    <row r="990" spans="33:33" x14ac:dyDescent="0.3">
      <c r="AG990" s="84"/>
    </row>
    <row r="991" spans="33:33" x14ac:dyDescent="0.3">
      <c r="AG991" s="84"/>
    </row>
    <row r="992" spans="33:33" x14ac:dyDescent="0.3">
      <c r="AG992" s="84"/>
    </row>
    <row r="993" spans="33:33" x14ac:dyDescent="0.3">
      <c r="AG993" s="84"/>
    </row>
    <row r="994" spans="33:33" x14ac:dyDescent="0.3">
      <c r="AG994" s="84"/>
    </row>
    <row r="995" spans="33:33" x14ac:dyDescent="0.3">
      <c r="AG995" s="84"/>
    </row>
    <row r="996" spans="33:33" x14ac:dyDescent="0.3">
      <c r="AG996" s="84"/>
    </row>
    <row r="997" spans="33:33" x14ac:dyDescent="0.3">
      <c r="AG997" s="84"/>
    </row>
    <row r="998" spans="33:33" x14ac:dyDescent="0.3">
      <c r="AG998" s="84"/>
    </row>
    <row r="999" spans="33:33" x14ac:dyDescent="0.3">
      <c r="AG999" s="84"/>
    </row>
    <row r="1000" spans="33:33" x14ac:dyDescent="0.3">
      <c r="AG1000" s="84"/>
    </row>
    <row r="1001" spans="33:33" x14ac:dyDescent="0.3">
      <c r="AG1001" s="84"/>
    </row>
    <row r="1002" spans="33:33" x14ac:dyDescent="0.3">
      <c r="AG1002" s="84"/>
    </row>
    <row r="1003" spans="33:33" x14ac:dyDescent="0.3">
      <c r="AG1003" s="84"/>
    </row>
    <row r="1004" spans="33:33" x14ac:dyDescent="0.3">
      <c r="AG1004" s="84"/>
    </row>
    <row r="1005" spans="33:33" x14ac:dyDescent="0.3">
      <c r="AG1005" s="84"/>
    </row>
    <row r="1006" spans="33:33" x14ac:dyDescent="0.3">
      <c r="AG1006" s="84"/>
    </row>
    <row r="1007" spans="33:33" x14ac:dyDescent="0.3">
      <c r="AG1007" s="84"/>
    </row>
    <row r="1008" spans="33:33" x14ac:dyDescent="0.3">
      <c r="AG1008" s="84"/>
    </row>
    <row r="1009" spans="33:33" x14ac:dyDescent="0.3">
      <c r="AG1009" s="84"/>
    </row>
    <row r="1010" spans="33:33" x14ac:dyDescent="0.3">
      <c r="AG1010" s="84"/>
    </row>
    <row r="1011" spans="33:33" x14ac:dyDescent="0.3">
      <c r="AG1011" s="84"/>
    </row>
    <row r="1012" spans="33:33" x14ac:dyDescent="0.3">
      <c r="AG1012" s="84"/>
    </row>
    <row r="1013" spans="33:33" x14ac:dyDescent="0.3">
      <c r="AG1013" s="84"/>
    </row>
    <row r="1014" spans="33:33" x14ac:dyDescent="0.3">
      <c r="AG1014" s="84"/>
    </row>
    <row r="1015" spans="33:33" x14ac:dyDescent="0.3">
      <c r="AG1015" s="84"/>
    </row>
    <row r="1016" spans="33:33" x14ac:dyDescent="0.3">
      <c r="AG1016" s="84"/>
    </row>
    <row r="1017" spans="33:33" x14ac:dyDescent="0.3">
      <c r="AG1017" s="84"/>
    </row>
    <row r="1018" spans="33:33" x14ac:dyDescent="0.3">
      <c r="AG1018" s="84"/>
    </row>
    <row r="1019" spans="33:33" x14ac:dyDescent="0.3">
      <c r="AG1019" s="84"/>
    </row>
    <row r="1020" spans="33:33" x14ac:dyDescent="0.3">
      <c r="AG1020" s="84"/>
    </row>
    <row r="1021" spans="33:33" x14ac:dyDescent="0.3">
      <c r="AG1021" s="84"/>
    </row>
    <row r="1022" spans="33:33" x14ac:dyDescent="0.3">
      <c r="AG1022" s="84"/>
    </row>
    <row r="1023" spans="33:33" x14ac:dyDescent="0.3">
      <c r="AG1023" s="84"/>
    </row>
    <row r="1024" spans="33:33" x14ac:dyDescent="0.3">
      <c r="AG1024" s="84"/>
    </row>
    <row r="1025" spans="33:33" x14ac:dyDescent="0.3">
      <c r="AG1025" s="84"/>
    </row>
    <row r="1026" spans="33:33" x14ac:dyDescent="0.3">
      <c r="AG1026" s="84"/>
    </row>
    <row r="1027" spans="33:33" x14ac:dyDescent="0.3">
      <c r="AG1027" s="84"/>
    </row>
    <row r="1028" spans="33:33" x14ac:dyDescent="0.3">
      <c r="AG1028" s="84"/>
    </row>
    <row r="1029" spans="33:33" x14ac:dyDescent="0.3">
      <c r="AG1029" s="84"/>
    </row>
    <row r="1030" spans="33:33" x14ac:dyDescent="0.3">
      <c r="AG1030" s="84"/>
    </row>
    <row r="1031" spans="33:33" x14ac:dyDescent="0.3">
      <c r="AG1031" s="84"/>
    </row>
    <row r="1032" spans="33:33" x14ac:dyDescent="0.3">
      <c r="AG1032" s="84"/>
    </row>
    <row r="1033" spans="33:33" x14ac:dyDescent="0.3">
      <c r="AG1033" s="84"/>
    </row>
    <row r="1034" spans="33:33" x14ac:dyDescent="0.3">
      <c r="AG1034" s="84"/>
    </row>
    <row r="1035" spans="33:33" x14ac:dyDescent="0.3">
      <c r="AG1035" s="84"/>
    </row>
    <row r="1036" spans="33:33" x14ac:dyDescent="0.3">
      <c r="AG1036" s="84"/>
    </row>
    <row r="1037" spans="33:33" x14ac:dyDescent="0.3">
      <c r="AG1037" s="84"/>
    </row>
    <row r="1038" spans="33:33" x14ac:dyDescent="0.3">
      <c r="AG1038" s="84"/>
    </row>
    <row r="1039" spans="33:33" x14ac:dyDescent="0.3">
      <c r="AG1039" s="84"/>
    </row>
    <row r="1040" spans="33:33" x14ac:dyDescent="0.3">
      <c r="AG1040" s="84"/>
    </row>
    <row r="1041" spans="33:33" x14ac:dyDescent="0.3">
      <c r="AG1041" s="84"/>
    </row>
    <row r="1042" spans="33:33" x14ac:dyDescent="0.3">
      <c r="AG1042" s="84"/>
    </row>
    <row r="1043" spans="33:33" x14ac:dyDescent="0.3">
      <c r="AG1043" s="84"/>
    </row>
    <row r="1044" spans="33:33" x14ac:dyDescent="0.3">
      <c r="AG1044" s="84"/>
    </row>
    <row r="1045" spans="33:33" x14ac:dyDescent="0.3">
      <c r="AG1045" s="84"/>
    </row>
    <row r="1046" spans="33:33" x14ac:dyDescent="0.3">
      <c r="AG1046" s="84"/>
    </row>
    <row r="1047" spans="33:33" x14ac:dyDescent="0.3">
      <c r="AG1047" s="84"/>
    </row>
    <row r="1048" spans="33:33" x14ac:dyDescent="0.3">
      <c r="AG1048" s="84"/>
    </row>
    <row r="1049" spans="33:33" x14ac:dyDescent="0.3">
      <c r="AG1049" s="84"/>
    </row>
    <row r="1050" spans="33:33" x14ac:dyDescent="0.3">
      <c r="AG1050" s="84"/>
    </row>
    <row r="1051" spans="33:33" x14ac:dyDescent="0.3">
      <c r="AG1051" s="84"/>
    </row>
    <row r="1052" spans="33:33" x14ac:dyDescent="0.3">
      <c r="AG1052" s="84"/>
    </row>
    <row r="1053" spans="33:33" x14ac:dyDescent="0.3">
      <c r="AG1053" s="84"/>
    </row>
    <row r="1054" spans="33:33" x14ac:dyDescent="0.3">
      <c r="AG1054" s="84"/>
    </row>
    <row r="1055" spans="33:33" x14ac:dyDescent="0.3">
      <c r="AG1055" s="84"/>
    </row>
    <row r="1056" spans="33:33" x14ac:dyDescent="0.3">
      <c r="AG1056" s="84"/>
    </row>
    <row r="1057" spans="33:33" x14ac:dyDescent="0.3">
      <c r="AG1057" s="84"/>
    </row>
    <row r="1058" spans="33:33" x14ac:dyDescent="0.3">
      <c r="AG1058" s="84"/>
    </row>
    <row r="1059" spans="33:33" x14ac:dyDescent="0.3">
      <c r="AG1059" s="84"/>
    </row>
    <row r="1060" spans="33:33" x14ac:dyDescent="0.3">
      <c r="AG1060" s="84"/>
    </row>
    <row r="1061" spans="33:33" x14ac:dyDescent="0.3">
      <c r="AG1061" s="84"/>
    </row>
    <row r="1062" spans="33:33" x14ac:dyDescent="0.3">
      <c r="AG1062" s="84"/>
    </row>
    <row r="1063" spans="33:33" x14ac:dyDescent="0.3">
      <c r="AG1063" s="84"/>
    </row>
    <row r="1064" spans="33:33" x14ac:dyDescent="0.3">
      <c r="AG1064" s="84"/>
    </row>
    <row r="1065" spans="33:33" x14ac:dyDescent="0.3">
      <c r="AG1065" s="84"/>
    </row>
    <row r="1066" spans="33:33" x14ac:dyDescent="0.3">
      <c r="AG1066" s="84"/>
    </row>
    <row r="1067" spans="33:33" x14ac:dyDescent="0.3">
      <c r="AG1067" s="84"/>
    </row>
    <row r="1068" spans="33:33" x14ac:dyDescent="0.3">
      <c r="AG1068" s="84"/>
    </row>
    <row r="1069" spans="33:33" x14ac:dyDescent="0.3">
      <c r="AG1069" s="84"/>
    </row>
    <row r="1070" spans="33:33" x14ac:dyDescent="0.3">
      <c r="AG1070" s="84"/>
    </row>
    <row r="1071" spans="33:33" x14ac:dyDescent="0.3">
      <c r="AG1071" s="84"/>
    </row>
    <row r="1072" spans="33:33" x14ac:dyDescent="0.3">
      <c r="AG1072" s="84"/>
    </row>
    <row r="1073" spans="33:33" x14ac:dyDescent="0.3">
      <c r="AG1073" s="84"/>
    </row>
    <row r="1074" spans="33:33" x14ac:dyDescent="0.3">
      <c r="AG1074" s="84"/>
    </row>
    <row r="1075" spans="33:33" x14ac:dyDescent="0.3">
      <c r="AG1075" s="84"/>
    </row>
    <row r="1076" spans="33:33" x14ac:dyDescent="0.3">
      <c r="AG1076" s="84"/>
    </row>
    <row r="1077" spans="33:33" x14ac:dyDescent="0.3">
      <c r="AG1077" s="84"/>
    </row>
    <row r="1078" spans="33:33" x14ac:dyDescent="0.3">
      <c r="AG1078" s="84"/>
    </row>
    <row r="1079" spans="33:33" x14ac:dyDescent="0.3">
      <c r="AG1079" s="84"/>
    </row>
    <row r="1080" spans="33:33" x14ac:dyDescent="0.3">
      <c r="AG1080" s="84"/>
    </row>
    <row r="1081" spans="33:33" x14ac:dyDescent="0.3">
      <c r="AG1081" s="84"/>
    </row>
    <row r="1082" spans="33:33" x14ac:dyDescent="0.3">
      <c r="AG1082" s="84"/>
    </row>
    <row r="1083" spans="33:33" x14ac:dyDescent="0.3">
      <c r="AG1083" s="84"/>
    </row>
    <row r="1084" spans="33:33" x14ac:dyDescent="0.3">
      <c r="AG1084" s="84"/>
    </row>
    <row r="1085" spans="33:33" x14ac:dyDescent="0.3">
      <c r="AG1085" s="84"/>
    </row>
    <row r="1086" spans="33:33" x14ac:dyDescent="0.3">
      <c r="AG1086" s="84"/>
    </row>
    <row r="1087" spans="33:33" x14ac:dyDescent="0.3">
      <c r="AG1087" s="84"/>
    </row>
    <row r="1088" spans="33:33" x14ac:dyDescent="0.3">
      <c r="AG1088" s="84"/>
    </row>
    <row r="1089" spans="33:33" x14ac:dyDescent="0.3">
      <c r="AG1089" s="84"/>
    </row>
    <row r="1090" spans="33:33" x14ac:dyDescent="0.3">
      <c r="AG1090" s="84"/>
    </row>
    <row r="1091" spans="33:33" x14ac:dyDescent="0.3">
      <c r="AG1091" s="84"/>
    </row>
    <row r="1092" spans="33:33" x14ac:dyDescent="0.3">
      <c r="AG1092" s="84"/>
    </row>
    <row r="1093" spans="33:33" x14ac:dyDescent="0.3">
      <c r="AG1093" s="84"/>
    </row>
    <row r="1094" spans="33:33" x14ac:dyDescent="0.3">
      <c r="AG1094" s="84"/>
    </row>
    <row r="1095" spans="33:33" x14ac:dyDescent="0.3">
      <c r="AG1095" s="84"/>
    </row>
    <row r="1096" spans="33:33" x14ac:dyDescent="0.3">
      <c r="AG1096" s="84"/>
    </row>
    <row r="1097" spans="33:33" x14ac:dyDescent="0.3">
      <c r="AG1097" s="84"/>
    </row>
    <row r="1098" spans="33:33" x14ac:dyDescent="0.3">
      <c r="AG1098" s="84"/>
    </row>
    <row r="1099" spans="33:33" x14ac:dyDescent="0.3">
      <c r="AG1099" s="84"/>
    </row>
    <row r="1100" spans="33:33" x14ac:dyDescent="0.3">
      <c r="AG1100" s="84"/>
    </row>
    <row r="1101" spans="33:33" x14ac:dyDescent="0.3">
      <c r="AG1101" s="84"/>
    </row>
    <row r="1102" spans="33:33" x14ac:dyDescent="0.3">
      <c r="AG1102" s="84"/>
    </row>
    <row r="1103" spans="33:33" x14ac:dyDescent="0.3">
      <c r="AG1103" s="84"/>
    </row>
    <row r="1104" spans="33:33" x14ac:dyDescent="0.3">
      <c r="AG1104" s="84"/>
    </row>
    <row r="1105" spans="33:33" x14ac:dyDescent="0.3">
      <c r="AG1105" s="84"/>
    </row>
  </sheetData>
  <mergeCells count="88">
    <mergeCell ref="B71:E71"/>
    <mergeCell ref="B72:E72"/>
    <mergeCell ref="B73:E73"/>
    <mergeCell ref="B66:E66"/>
    <mergeCell ref="B67:E67"/>
    <mergeCell ref="B68:E68"/>
    <mergeCell ref="B69:E69"/>
    <mergeCell ref="B70:E70"/>
    <mergeCell ref="B61:E61"/>
    <mergeCell ref="B62:E62"/>
    <mergeCell ref="B63:E63"/>
    <mergeCell ref="B64:E64"/>
    <mergeCell ref="B65:E65"/>
    <mergeCell ref="B56:E56"/>
    <mergeCell ref="B57:E57"/>
    <mergeCell ref="B58:E58"/>
    <mergeCell ref="B59:E59"/>
    <mergeCell ref="B60:E60"/>
    <mergeCell ref="B1:I1"/>
    <mergeCell ref="S3:W3"/>
    <mergeCell ref="A4:E5"/>
    <mergeCell ref="P4:P5"/>
    <mergeCell ref="Q4:Q5"/>
    <mergeCell ref="R4:R5"/>
    <mergeCell ref="S4:S5"/>
    <mergeCell ref="T4:T5"/>
    <mergeCell ref="V4:V5"/>
    <mergeCell ref="W4:W5"/>
    <mergeCell ref="AF4:AF5"/>
    <mergeCell ref="AG4:AG5"/>
    <mergeCell ref="AH4:AH5"/>
    <mergeCell ref="AK4:AK5"/>
    <mergeCell ref="A6:E6"/>
    <mergeCell ref="X4:X5"/>
    <mergeCell ref="Y4:Y5"/>
    <mergeCell ref="Z4:Z5"/>
    <mergeCell ref="AA4:AA5"/>
    <mergeCell ref="AB4:AB5"/>
    <mergeCell ref="AC4:AC5"/>
    <mergeCell ref="B21:E21"/>
    <mergeCell ref="B7:E7"/>
    <mergeCell ref="B8:E8"/>
    <mergeCell ref="B9:E9"/>
    <mergeCell ref="B10:E10"/>
    <mergeCell ref="B11:E11"/>
    <mergeCell ref="B12:E12"/>
    <mergeCell ref="B13:E13"/>
    <mergeCell ref="B14:E14"/>
    <mergeCell ref="B15:E15"/>
    <mergeCell ref="B16:E16"/>
    <mergeCell ref="B17:E17"/>
    <mergeCell ref="B18:E18"/>
    <mergeCell ref="B19:E19"/>
    <mergeCell ref="B20:E20"/>
    <mergeCell ref="B33:E33"/>
    <mergeCell ref="B22:E22"/>
    <mergeCell ref="B23:E23"/>
    <mergeCell ref="B24:E24"/>
    <mergeCell ref="B25:E25"/>
    <mergeCell ref="B26:E26"/>
    <mergeCell ref="B27:E27"/>
    <mergeCell ref="B28:E28"/>
    <mergeCell ref="B29:E29"/>
    <mergeCell ref="B30:E30"/>
    <mergeCell ref="B31:E31"/>
    <mergeCell ref="B32:E32"/>
    <mergeCell ref="B45:E45"/>
    <mergeCell ref="B34:E34"/>
    <mergeCell ref="B35:E35"/>
    <mergeCell ref="B36:E36"/>
    <mergeCell ref="B37:E37"/>
    <mergeCell ref="B38:E38"/>
    <mergeCell ref="B39:E39"/>
    <mergeCell ref="B40:E40"/>
    <mergeCell ref="B41:E41"/>
    <mergeCell ref="B42:E42"/>
    <mergeCell ref="B43:E43"/>
    <mergeCell ref="B44:E44"/>
    <mergeCell ref="B52:E52"/>
    <mergeCell ref="B53:E53"/>
    <mergeCell ref="B54:E54"/>
    <mergeCell ref="B55:E55"/>
    <mergeCell ref="B46:E46"/>
    <mergeCell ref="B47:E47"/>
    <mergeCell ref="B48:E48"/>
    <mergeCell ref="B49:E49"/>
    <mergeCell ref="B50:E50"/>
    <mergeCell ref="B51:E51"/>
  </mergeCells>
  <pageMargins left="0.69930555555555596" right="0.69930555555555596" top="0.75" bottom="0.75" header="0.3" footer="0.3"/>
  <pageSetup paperSize="10000" scale="38" orientation="landscape" r:id="rId1"/>
  <rowBreaks count="1" manualBreakCount="1">
    <brk id="51" max="85" man="1"/>
  </rowBreaks>
  <colBreaks count="1" manualBreakCount="1">
    <brk id="37" min="3" max="343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6B481E-CEEB-492B-8733-AF8C46607502}">
  <dimension ref="A1:EU1105"/>
  <sheetViews>
    <sheetView tabSelected="1" zoomScale="110" zoomScaleNormal="110" zoomScaleSheetLayoutView="98" workbookViewId="0">
      <pane xSplit="6" ySplit="5" topLeftCell="AA6" activePane="bottomRight" state="frozen"/>
      <selection activeCell="A16" sqref="A16:XFD16"/>
      <selection pane="topRight" activeCell="A16" sqref="A16:XFD16"/>
      <selection pane="bottomLeft" activeCell="A16" sqref="A16:XFD16"/>
      <selection pane="bottomRight" activeCell="B7" sqref="B7:E7"/>
    </sheetView>
  </sheetViews>
  <sheetFormatPr defaultColWidth="9" defaultRowHeight="14.4" x14ac:dyDescent="0.3"/>
  <cols>
    <col min="1" max="1" width="3" customWidth="1"/>
    <col min="2" max="2" width="16.44140625" bestFit="1" customWidth="1"/>
    <col min="3" max="3" width="1.88671875" customWidth="1"/>
    <col min="4" max="4" width="13.109375" customWidth="1"/>
    <col min="5" max="5" width="3" customWidth="1"/>
    <col min="6" max="6" width="17.5546875" hidden="1" customWidth="1"/>
    <col min="7" max="7" width="12" customWidth="1"/>
    <col min="8" max="8" width="41.44140625" hidden="1" customWidth="1"/>
    <col min="9" max="9" width="10.5546875" customWidth="1"/>
    <col min="10" max="10" width="43" hidden="1" customWidth="1"/>
    <col min="11" max="11" width="10.5546875" customWidth="1"/>
    <col min="12" max="12" width="31.44140625" hidden="1" customWidth="1"/>
    <col min="13" max="13" width="9" customWidth="1"/>
    <col min="14" max="14" width="28.109375" hidden="1" customWidth="1"/>
    <col min="15" max="15" width="10.44140625" customWidth="1"/>
    <col min="16" max="16" width="10.109375" customWidth="1"/>
    <col min="17" max="17" width="8.88671875" bestFit="1" customWidth="1"/>
    <col min="18" max="20" width="8.44140625" customWidth="1"/>
    <col min="21" max="21" width="9.33203125" customWidth="1"/>
    <col min="22" max="23" width="9.6640625" customWidth="1"/>
    <col min="24" max="24" width="10.109375" customWidth="1"/>
    <col min="25" max="25" width="9.109375" customWidth="1"/>
    <col min="26" max="26" width="9.88671875" customWidth="1"/>
    <col min="27" max="27" width="8.33203125" customWidth="1"/>
    <col min="28" max="28" width="8.109375" customWidth="1"/>
    <col min="29" max="29" width="11.33203125" customWidth="1"/>
    <col min="30" max="30" width="11.6640625" customWidth="1"/>
    <col min="31" max="31" width="8.33203125" customWidth="1"/>
    <col min="32" max="32" width="12.44140625" customWidth="1"/>
    <col min="33" max="33" width="9.88671875" customWidth="1"/>
    <col min="34" max="34" width="10.5546875" customWidth="1"/>
    <col min="35" max="35" width="10.33203125" customWidth="1"/>
    <col min="36" max="36" width="8.5546875" customWidth="1"/>
    <col min="37" max="37" width="12.5546875" customWidth="1"/>
    <col min="38" max="38" width="6.109375" customWidth="1"/>
    <col min="39" max="39" width="3" customWidth="1"/>
  </cols>
  <sheetData>
    <row r="1" spans="1:115" x14ac:dyDescent="0.3">
      <c r="A1" s="1"/>
      <c r="B1" s="116"/>
      <c r="C1" s="116"/>
      <c r="D1" s="116"/>
      <c r="E1" s="116"/>
      <c r="F1" s="116"/>
      <c r="G1" s="116"/>
      <c r="H1" s="116"/>
      <c r="I1" s="116"/>
      <c r="J1" s="2"/>
      <c r="K1" s="2"/>
      <c r="L1" s="3"/>
      <c r="M1" s="2"/>
      <c r="N1" s="2"/>
      <c r="O1" s="2"/>
      <c r="Q1" s="2"/>
      <c r="R1" s="2"/>
      <c r="S1" s="2"/>
      <c r="T1" s="2"/>
      <c r="AG1" s="4"/>
      <c r="AH1" s="4"/>
      <c r="AL1" s="5"/>
      <c r="AM1" s="6"/>
      <c r="AN1" s="5"/>
      <c r="AO1" s="5"/>
      <c r="AP1" s="5"/>
      <c r="AQ1" s="5"/>
      <c r="AR1" s="7"/>
      <c r="AS1" s="7"/>
      <c r="AT1" s="7"/>
      <c r="AU1" s="7"/>
      <c r="AV1" s="7"/>
    </row>
    <row r="2" spans="1:115" ht="12" hidden="1" customHeight="1" x14ac:dyDescent="0.3">
      <c r="A2" s="8"/>
      <c r="B2" s="9"/>
      <c r="C2" s="10" t="s">
        <v>0</v>
      </c>
      <c r="D2" s="11"/>
      <c r="E2" s="10"/>
      <c r="F2" s="10"/>
      <c r="H2" s="12" t="s">
        <v>1</v>
      </c>
      <c r="I2" s="13"/>
      <c r="J2" s="14"/>
      <c r="K2" s="15" t="s">
        <v>2</v>
      </c>
      <c r="L2" s="14"/>
      <c r="M2" s="16"/>
      <c r="N2" s="17"/>
      <c r="O2" s="18"/>
      <c r="Q2" s="19"/>
      <c r="R2" s="19" t="s">
        <v>3</v>
      </c>
      <c r="S2" s="20"/>
      <c r="U2" s="21" t="s">
        <v>4</v>
      </c>
      <c r="V2" s="21"/>
      <c r="W2" s="22"/>
      <c r="Y2" s="23" t="s">
        <v>5</v>
      </c>
      <c r="Z2" s="24"/>
      <c r="AB2" s="25" t="s">
        <v>6</v>
      </c>
      <c r="AC2" s="26"/>
      <c r="AD2" s="27"/>
      <c r="AE2" s="28" t="s">
        <v>7</v>
      </c>
      <c r="AF2" s="29"/>
      <c r="AG2" s="30"/>
      <c r="AH2" s="31" t="s">
        <v>8</v>
      </c>
      <c r="AI2" s="32"/>
      <c r="AJ2" s="32"/>
      <c r="AN2" s="5"/>
      <c r="AO2" s="5"/>
      <c r="AP2" s="5"/>
      <c r="AQ2" s="5"/>
      <c r="AR2" s="7"/>
      <c r="AS2" s="7"/>
      <c r="AT2" s="7"/>
      <c r="AU2" s="7"/>
      <c r="AV2" s="7"/>
    </row>
    <row r="3" spans="1:115" ht="15" customHeight="1" x14ac:dyDescent="0.3">
      <c r="A3" s="33" t="s">
        <v>9</v>
      </c>
      <c r="B3" s="34"/>
      <c r="C3" s="35"/>
      <c r="D3" s="34"/>
      <c r="E3" s="36"/>
      <c r="F3" s="37"/>
      <c r="G3" s="38" t="s">
        <v>10</v>
      </c>
      <c r="H3" s="39"/>
      <c r="I3" s="38"/>
      <c r="J3" s="38"/>
      <c r="K3" s="40"/>
      <c r="L3" s="41"/>
      <c r="M3" s="42"/>
      <c r="N3" s="43"/>
      <c r="O3" s="43"/>
      <c r="P3" s="44"/>
      <c r="Q3" s="45"/>
      <c r="R3" s="46"/>
      <c r="S3" s="117" t="s">
        <v>11</v>
      </c>
      <c r="T3" s="117"/>
      <c r="U3" s="118"/>
      <c r="V3" s="118"/>
      <c r="W3" s="118"/>
      <c r="X3" s="40"/>
      <c r="Y3" s="40"/>
      <c r="Z3" s="40"/>
      <c r="AA3" s="40"/>
      <c r="AB3" s="40"/>
      <c r="AC3" s="40"/>
      <c r="AD3" s="40"/>
      <c r="AE3" s="40"/>
      <c r="AF3" s="40"/>
      <c r="AG3" s="40"/>
      <c r="AH3" s="40"/>
      <c r="AI3" s="40"/>
      <c r="AJ3" s="40"/>
      <c r="AK3" s="47"/>
      <c r="AL3" s="35"/>
      <c r="AM3" s="48"/>
    </row>
    <row r="4" spans="1:115" s="1" customFormat="1" ht="22.5" customHeight="1" x14ac:dyDescent="0.3">
      <c r="A4" s="119" t="s">
        <v>12</v>
      </c>
      <c r="B4" s="119"/>
      <c r="C4" s="119"/>
      <c r="D4" s="119"/>
      <c r="E4" s="119"/>
      <c r="F4" s="49" t="s">
        <v>13</v>
      </c>
      <c r="G4" s="103" t="s">
        <v>14</v>
      </c>
      <c r="H4" s="104" t="s">
        <v>15</v>
      </c>
      <c r="I4" s="105" t="s">
        <v>15</v>
      </c>
      <c r="J4" s="104" t="s">
        <v>16</v>
      </c>
      <c r="K4" s="105" t="s">
        <v>17</v>
      </c>
      <c r="L4" s="104" t="s">
        <v>18</v>
      </c>
      <c r="M4" s="41" t="s">
        <v>19</v>
      </c>
      <c r="N4" s="106" t="s">
        <v>20</v>
      </c>
      <c r="O4" s="105" t="s">
        <v>21</v>
      </c>
      <c r="P4" s="112" t="s">
        <v>22</v>
      </c>
      <c r="Q4" s="112" t="s">
        <v>23</v>
      </c>
      <c r="R4" s="112" t="s">
        <v>24</v>
      </c>
      <c r="S4" s="120" t="s">
        <v>25</v>
      </c>
      <c r="T4" s="120" t="s">
        <v>26</v>
      </c>
      <c r="U4" s="51" t="s">
        <v>27</v>
      </c>
      <c r="V4" s="112" t="s">
        <v>28</v>
      </c>
      <c r="W4" s="112" t="s">
        <v>29</v>
      </c>
      <c r="X4" s="112" t="s">
        <v>30</v>
      </c>
      <c r="Y4" s="112" t="s">
        <v>31</v>
      </c>
      <c r="Z4" s="112" t="s">
        <v>32</v>
      </c>
      <c r="AA4" s="112" t="s">
        <v>33</v>
      </c>
      <c r="AB4" s="112" t="s">
        <v>34</v>
      </c>
      <c r="AC4" s="112" t="s">
        <v>35</v>
      </c>
      <c r="AD4" s="52" t="s">
        <v>36</v>
      </c>
      <c r="AE4" s="50" t="s">
        <v>37</v>
      </c>
      <c r="AF4" s="112" t="s">
        <v>38</v>
      </c>
      <c r="AG4" s="112" t="s">
        <v>39</v>
      </c>
      <c r="AH4" s="112" t="s">
        <v>40</v>
      </c>
      <c r="AI4" s="50" t="s">
        <v>41</v>
      </c>
      <c r="AJ4" s="50" t="s">
        <v>42</v>
      </c>
      <c r="AK4" s="113" t="s">
        <v>43</v>
      </c>
      <c r="AL4" s="33"/>
      <c r="AM4" s="48"/>
      <c r="AN4" s="5"/>
      <c r="AO4" s="5"/>
      <c r="AP4" s="5"/>
      <c r="AQ4" s="5"/>
      <c r="AR4" s="7"/>
      <c r="AS4" s="7"/>
      <c r="AT4" s="7"/>
      <c r="AU4" s="7"/>
      <c r="AV4" s="7"/>
      <c r="AW4"/>
      <c r="AX4"/>
      <c r="AY4"/>
      <c r="AZ4"/>
      <c r="BA4"/>
      <c r="BB4"/>
      <c r="BC4"/>
      <c r="BD4"/>
      <c r="BE4"/>
      <c r="BF4"/>
      <c r="BG4"/>
    </row>
    <row r="5" spans="1:115" s="1" customFormat="1" ht="18" customHeight="1" x14ac:dyDescent="0.3">
      <c r="A5" s="119"/>
      <c r="B5" s="119"/>
      <c r="C5" s="119"/>
      <c r="D5" s="119"/>
      <c r="E5" s="119"/>
      <c r="F5" s="49"/>
      <c r="G5" s="105" t="s">
        <v>44</v>
      </c>
      <c r="H5" s="104" t="s">
        <v>45</v>
      </c>
      <c r="I5" s="105" t="s">
        <v>44</v>
      </c>
      <c r="J5" s="104" t="s">
        <v>45</v>
      </c>
      <c r="K5" s="105" t="s">
        <v>44</v>
      </c>
      <c r="L5" s="104" t="s">
        <v>45</v>
      </c>
      <c r="M5" s="105" t="s">
        <v>44</v>
      </c>
      <c r="N5" s="107" t="s">
        <v>46</v>
      </c>
      <c r="O5" s="105" t="s">
        <v>44</v>
      </c>
      <c r="P5" s="112"/>
      <c r="Q5" s="112"/>
      <c r="R5" s="112"/>
      <c r="S5" s="120"/>
      <c r="T5" s="120"/>
      <c r="U5" s="53"/>
      <c r="V5" s="112"/>
      <c r="W5" s="112"/>
      <c r="X5" s="112"/>
      <c r="Y5" s="112"/>
      <c r="Z5" s="112"/>
      <c r="AA5" s="112"/>
      <c r="AB5" s="112"/>
      <c r="AC5" s="112"/>
      <c r="AD5" s="50" t="s">
        <v>47</v>
      </c>
      <c r="AE5" s="50" t="s">
        <v>48</v>
      </c>
      <c r="AF5" s="112"/>
      <c r="AG5" s="112"/>
      <c r="AH5" s="112"/>
      <c r="AI5" s="54" t="s">
        <v>47</v>
      </c>
      <c r="AJ5" s="54" t="s">
        <v>49</v>
      </c>
      <c r="AK5" s="113"/>
      <c r="AL5" s="33"/>
      <c r="AM5" s="48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</row>
    <row r="6" spans="1:115" s="1" customFormat="1" ht="15" customHeight="1" x14ac:dyDescent="0.3">
      <c r="A6" s="114" t="s">
        <v>59</v>
      </c>
      <c r="B6" s="115"/>
      <c r="C6" s="115"/>
      <c r="D6" s="115"/>
      <c r="E6" s="115"/>
      <c r="F6" s="55"/>
      <c r="G6" s="56"/>
      <c r="H6" s="57"/>
      <c r="I6" s="57"/>
      <c r="J6" s="57"/>
      <c r="K6" s="57"/>
      <c r="L6" s="57"/>
      <c r="M6" s="57"/>
      <c r="N6" s="58"/>
      <c r="O6" s="58"/>
      <c r="P6" s="59"/>
      <c r="Q6" s="55"/>
      <c r="R6" s="55"/>
      <c r="S6" s="60"/>
      <c r="T6" s="60"/>
      <c r="U6" s="61"/>
      <c r="V6" s="55"/>
      <c r="W6" s="55"/>
      <c r="X6" s="55"/>
      <c r="Y6" s="55"/>
      <c r="Z6" s="55"/>
      <c r="AA6" s="55"/>
      <c r="AB6" s="55"/>
      <c r="AC6" s="55"/>
      <c r="AD6" s="55"/>
      <c r="AE6" s="55"/>
      <c r="AF6" s="55"/>
      <c r="AG6" s="55"/>
      <c r="AH6" s="55"/>
      <c r="AI6" s="62"/>
      <c r="AJ6" s="62"/>
      <c r="AK6" s="63"/>
      <c r="AL6" s="64"/>
      <c r="AM6" s="48"/>
      <c r="AN6" s="5"/>
      <c r="AO6" s="5"/>
      <c r="AP6" s="5"/>
      <c r="AQ6" s="5"/>
      <c r="AR6" s="7"/>
      <c r="AS6" s="7"/>
      <c r="AT6" s="7"/>
      <c r="AU6" s="7"/>
      <c r="AV6" s="7"/>
      <c r="AW6"/>
      <c r="AX6"/>
      <c r="AY6"/>
      <c r="AZ6"/>
      <c r="BA6"/>
      <c r="BB6"/>
      <c r="BC6"/>
      <c r="BD6"/>
      <c r="BE6"/>
      <c r="BF6"/>
      <c r="BG6"/>
    </row>
    <row r="7" spans="1:115" ht="15" customHeight="1" x14ac:dyDescent="0.3">
      <c r="A7" s="65"/>
      <c r="B7" s="109"/>
      <c r="C7" s="110"/>
      <c r="D7" s="110"/>
      <c r="E7" s="111"/>
      <c r="F7" s="85"/>
      <c r="G7" s="86"/>
      <c r="H7" s="86"/>
      <c r="I7" s="86"/>
      <c r="J7" s="86"/>
      <c r="K7" s="86"/>
      <c r="L7" s="86"/>
      <c r="M7" s="86"/>
      <c r="N7" s="86"/>
      <c r="O7" s="86"/>
      <c r="P7" s="86"/>
      <c r="Q7" s="67">
        <f t="shared" ref="Q7:Q70" si="0">P7*0.02</f>
        <v>0</v>
      </c>
      <c r="R7" s="67">
        <f t="shared" ref="R7:R70" si="1">P7+Q7</f>
        <v>0</v>
      </c>
      <c r="S7" s="86"/>
      <c r="T7" s="86"/>
      <c r="U7" s="86"/>
      <c r="V7" s="86"/>
      <c r="W7" s="66">
        <f t="shared" ref="W7:W70" si="2">G7+I7+K7+M7+O7+R7+S7+T7+U7+V7</f>
        <v>0</v>
      </c>
      <c r="X7" s="96"/>
      <c r="Y7" s="68">
        <f t="shared" ref="Y7:Y70" si="3">X7*0.02</f>
        <v>0</v>
      </c>
      <c r="Z7" s="68">
        <f t="shared" ref="Z7:Z70" si="4">X7+Y7</f>
        <v>0</v>
      </c>
      <c r="AA7" s="72"/>
      <c r="AB7" s="68">
        <f>AA7*0.025</f>
        <v>0</v>
      </c>
      <c r="AC7" s="68">
        <f>AA7+AB7</f>
        <v>0</v>
      </c>
      <c r="AD7" s="68"/>
      <c r="AE7" s="55"/>
      <c r="AF7" s="69">
        <f t="shared" ref="AF7:AF73" si="5">W7+Z7+AC7+AD7+AE7</f>
        <v>0</v>
      </c>
      <c r="AG7" s="86"/>
      <c r="AH7" s="108"/>
      <c r="AI7" s="108"/>
      <c r="AJ7" s="108"/>
      <c r="AK7" s="70">
        <f t="shared" ref="AK7:AK70" si="6">AF7-AG7-AH7-AI7-AJ7</f>
        <v>0</v>
      </c>
      <c r="AL7" s="71"/>
      <c r="AM7" s="48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</row>
    <row r="8" spans="1:115" ht="15.75" customHeight="1" x14ac:dyDescent="0.3">
      <c r="A8" s="65"/>
      <c r="B8" s="109"/>
      <c r="C8" s="110"/>
      <c r="D8" s="110"/>
      <c r="E8" s="111"/>
      <c r="F8" s="85"/>
      <c r="G8" s="86"/>
      <c r="H8" s="86"/>
      <c r="I8" s="86"/>
      <c r="J8" s="86"/>
      <c r="K8" s="86"/>
      <c r="L8" s="86"/>
      <c r="M8" s="86"/>
      <c r="N8" s="86"/>
      <c r="O8" s="86"/>
      <c r="P8" s="86"/>
      <c r="Q8" s="67">
        <f t="shared" si="0"/>
        <v>0</v>
      </c>
      <c r="R8" s="67">
        <f t="shared" si="1"/>
        <v>0</v>
      </c>
      <c r="S8" s="86"/>
      <c r="T8" s="86"/>
      <c r="U8" s="86"/>
      <c r="V8" s="86"/>
      <c r="W8" s="66">
        <f t="shared" si="2"/>
        <v>0</v>
      </c>
      <c r="X8" s="97"/>
      <c r="Y8" s="68">
        <f t="shared" si="3"/>
        <v>0</v>
      </c>
      <c r="Z8" s="68">
        <f t="shared" si="4"/>
        <v>0</v>
      </c>
      <c r="AA8" s="72"/>
      <c r="AB8" s="68">
        <f t="shared" ref="AB8:AB73" si="7">AA8*0.025</f>
        <v>0</v>
      </c>
      <c r="AC8" s="68">
        <f t="shared" ref="AC8:AC73" si="8">AA8+AB8</f>
        <v>0</v>
      </c>
      <c r="AD8" s="68"/>
      <c r="AE8" s="55"/>
      <c r="AF8" s="69">
        <f t="shared" si="5"/>
        <v>0</v>
      </c>
      <c r="AG8" s="86"/>
      <c r="AH8" s="108"/>
      <c r="AI8" s="108"/>
      <c r="AJ8" s="108"/>
      <c r="AK8" s="70">
        <f t="shared" si="6"/>
        <v>0</v>
      </c>
      <c r="AL8" s="71"/>
      <c r="AM8" s="48"/>
      <c r="AN8" s="5"/>
      <c r="AO8" s="5"/>
      <c r="AP8" s="5"/>
      <c r="AQ8" s="5"/>
      <c r="AR8" s="7"/>
      <c r="AS8" s="7"/>
      <c r="AT8" s="7"/>
      <c r="AU8" s="7"/>
      <c r="AV8" s="7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</row>
    <row r="9" spans="1:115" ht="14.25" customHeight="1" x14ac:dyDescent="0.3">
      <c r="A9" s="65"/>
      <c r="B9" s="109"/>
      <c r="C9" s="110"/>
      <c r="D9" s="110"/>
      <c r="E9" s="111"/>
      <c r="F9" s="85"/>
      <c r="G9" s="86"/>
      <c r="H9" s="86"/>
      <c r="I9" s="86"/>
      <c r="J9" s="86"/>
      <c r="K9" s="86"/>
      <c r="L9" s="86"/>
      <c r="M9" s="86"/>
      <c r="N9" s="86"/>
      <c r="O9" s="86"/>
      <c r="P9" s="86"/>
      <c r="Q9" s="67">
        <f t="shared" si="0"/>
        <v>0</v>
      </c>
      <c r="R9" s="67">
        <f t="shared" si="1"/>
        <v>0</v>
      </c>
      <c r="S9" s="86"/>
      <c r="T9" s="86"/>
      <c r="U9" s="86"/>
      <c r="V9" s="86"/>
      <c r="W9" s="66">
        <f t="shared" si="2"/>
        <v>0</v>
      </c>
      <c r="X9" s="98"/>
      <c r="Y9" s="68">
        <f t="shared" si="3"/>
        <v>0</v>
      </c>
      <c r="Z9" s="68">
        <f t="shared" si="4"/>
        <v>0</v>
      </c>
      <c r="AA9" s="72"/>
      <c r="AB9" s="68">
        <f t="shared" si="7"/>
        <v>0</v>
      </c>
      <c r="AC9" s="68">
        <f t="shared" si="8"/>
        <v>0</v>
      </c>
      <c r="AD9" s="68"/>
      <c r="AE9" s="55"/>
      <c r="AF9" s="69">
        <f t="shared" si="5"/>
        <v>0</v>
      </c>
      <c r="AG9" s="86"/>
      <c r="AH9" s="108"/>
      <c r="AI9" s="108"/>
      <c r="AJ9" s="108"/>
      <c r="AK9" s="70">
        <f t="shared" si="6"/>
        <v>0</v>
      </c>
      <c r="AL9" s="71"/>
      <c r="AM9" s="48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</row>
    <row r="10" spans="1:115" ht="15" customHeight="1" x14ac:dyDescent="0.3">
      <c r="A10" s="65"/>
      <c r="B10" s="109"/>
      <c r="C10" s="110"/>
      <c r="D10" s="110"/>
      <c r="E10" s="111"/>
      <c r="F10" s="85"/>
      <c r="G10" s="86"/>
      <c r="H10" s="86"/>
      <c r="I10" s="86"/>
      <c r="J10" s="86"/>
      <c r="K10" s="86"/>
      <c r="L10" s="86"/>
      <c r="M10" s="86"/>
      <c r="N10" s="86"/>
      <c r="O10" s="86"/>
      <c r="P10" s="86"/>
      <c r="Q10" s="67">
        <f t="shared" si="0"/>
        <v>0</v>
      </c>
      <c r="R10" s="67">
        <f t="shared" si="1"/>
        <v>0</v>
      </c>
      <c r="S10" s="86"/>
      <c r="T10" s="86"/>
      <c r="U10" s="86"/>
      <c r="V10" s="86"/>
      <c r="W10" s="66">
        <f t="shared" si="2"/>
        <v>0</v>
      </c>
      <c r="X10" s="97"/>
      <c r="Y10" s="68">
        <f t="shared" si="3"/>
        <v>0</v>
      </c>
      <c r="Z10" s="68">
        <f t="shared" si="4"/>
        <v>0</v>
      </c>
      <c r="AA10" s="72"/>
      <c r="AB10" s="68">
        <f t="shared" si="7"/>
        <v>0</v>
      </c>
      <c r="AC10" s="68">
        <f t="shared" si="8"/>
        <v>0</v>
      </c>
      <c r="AD10" s="68"/>
      <c r="AE10" s="55"/>
      <c r="AF10" s="69">
        <f t="shared" si="5"/>
        <v>0</v>
      </c>
      <c r="AG10" s="86"/>
      <c r="AH10" s="108"/>
      <c r="AI10" s="108"/>
      <c r="AJ10" s="108"/>
      <c r="AK10" s="70">
        <f t="shared" si="6"/>
        <v>0</v>
      </c>
      <c r="AL10" s="71"/>
      <c r="AM10" s="48"/>
      <c r="AN10" s="5"/>
      <c r="AO10" s="5"/>
      <c r="AP10" s="5"/>
      <c r="AQ10" s="5"/>
      <c r="AR10" s="7"/>
      <c r="AS10" s="7"/>
      <c r="AT10" s="7"/>
      <c r="AU10" s="7"/>
      <c r="AV10" s="7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</row>
    <row r="11" spans="1:115" s="42" customFormat="1" ht="15" customHeight="1" x14ac:dyDescent="0.3">
      <c r="A11" s="65"/>
      <c r="B11" s="109"/>
      <c r="C11" s="110"/>
      <c r="D11" s="110"/>
      <c r="E11" s="111"/>
      <c r="F11" s="93"/>
      <c r="G11" s="86"/>
      <c r="H11" s="86"/>
      <c r="I11" s="86"/>
      <c r="J11" s="86"/>
      <c r="K11" s="86"/>
      <c r="L11" s="86"/>
      <c r="M11" s="86"/>
      <c r="N11" s="86"/>
      <c r="O11" s="86"/>
      <c r="P11" s="86"/>
      <c r="Q11" s="67">
        <f t="shared" si="0"/>
        <v>0</v>
      </c>
      <c r="R11" s="67">
        <f t="shared" si="1"/>
        <v>0</v>
      </c>
      <c r="S11" s="86"/>
      <c r="T11" s="86"/>
      <c r="U11" s="86"/>
      <c r="V11" s="86"/>
      <c r="W11" s="66">
        <f t="shared" si="2"/>
        <v>0</v>
      </c>
      <c r="X11" s="99"/>
      <c r="Y11" s="68">
        <f t="shared" si="3"/>
        <v>0</v>
      </c>
      <c r="Z11" s="68">
        <f t="shared" si="4"/>
        <v>0</v>
      </c>
      <c r="AA11" s="72"/>
      <c r="AB11" s="68">
        <f t="shared" si="7"/>
        <v>0</v>
      </c>
      <c r="AC11" s="68">
        <f t="shared" si="8"/>
        <v>0</v>
      </c>
      <c r="AD11" s="68"/>
      <c r="AE11" s="55"/>
      <c r="AF11" s="69">
        <f t="shared" si="5"/>
        <v>0</v>
      </c>
      <c r="AG11" s="86"/>
      <c r="AH11" s="108"/>
      <c r="AI11" s="108"/>
      <c r="AJ11" s="108"/>
      <c r="AK11" s="70">
        <f t="shared" si="6"/>
        <v>0</v>
      </c>
      <c r="AL11" s="71"/>
      <c r="AM11" s="48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</row>
    <row r="12" spans="1:115" s="74" customFormat="1" ht="15" customHeight="1" x14ac:dyDescent="0.3">
      <c r="A12" s="65"/>
      <c r="B12" s="109"/>
      <c r="C12" s="110"/>
      <c r="D12" s="110"/>
      <c r="E12" s="111"/>
      <c r="F12" s="93"/>
      <c r="G12" s="86"/>
      <c r="H12" s="86"/>
      <c r="I12" s="86"/>
      <c r="J12" s="86"/>
      <c r="K12" s="86"/>
      <c r="L12" s="86"/>
      <c r="M12" s="86"/>
      <c r="N12" s="86"/>
      <c r="O12" s="86"/>
      <c r="P12" s="87"/>
      <c r="Q12" s="67">
        <f t="shared" si="0"/>
        <v>0</v>
      </c>
      <c r="R12" s="67">
        <f t="shared" si="1"/>
        <v>0</v>
      </c>
      <c r="S12" s="86"/>
      <c r="T12" s="86"/>
      <c r="U12" s="86"/>
      <c r="V12" s="86"/>
      <c r="W12" s="66">
        <f t="shared" si="2"/>
        <v>0</v>
      </c>
      <c r="X12" s="96"/>
      <c r="Y12" s="68">
        <f t="shared" si="3"/>
        <v>0</v>
      </c>
      <c r="Z12" s="68">
        <f t="shared" si="4"/>
        <v>0</v>
      </c>
      <c r="AA12" s="72"/>
      <c r="AB12" s="68">
        <f t="shared" si="7"/>
        <v>0</v>
      </c>
      <c r="AC12" s="68">
        <f t="shared" si="8"/>
        <v>0</v>
      </c>
      <c r="AD12" s="68"/>
      <c r="AE12" s="55"/>
      <c r="AF12" s="69">
        <f t="shared" si="5"/>
        <v>0</v>
      </c>
      <c r="AG12" s="86"/>
      <c r="AH12" s="108"/>
      <c r="AI12" s="108"/>
      <c r="AJ12" s="108"/>
      <c r="AK12" s="70">
        <f t="shared" si="6"/>
        <v>0</v>
      </c>
      <c r="AL12" s="71"/>
      <c r="AM12" s="48"/>
      <c r="AN12" s="5"/>
      <c r="AO12" s="5"/>
      <c r="AP12" s="5"/>
      <c r="AQ12" s="5"/>
      <c r="AR12" s="7"/>
      <c r="AS12" s="7"/>
      <c r="AT12" s="7"/>
      <c r="AU12" s="7"/>
      <c r="AV12" s="7"/>
      <c r="AW12"/>
      <c r="AX12"/>
      <c r="AY12"/>
      <c r="AZ12"/>
      <c r="BA12"/>
      <c r="BB12"/>
      <c r="BC12"/>
      <c r="BD12"/>
      <c r="BE12"/>
      <c r="BF12"/>
      <c r="BG12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</row>
    <row r="13" spans="1:115" s="42" customFormat="1" ht="15" customHeight="1" x14ac:dyDescent="0.3">
      <c r="A13" s="65"/>
      <c r="B13" s="109"/>
      <c r="C13" s="110"/>
      <c r="D13" s="110"/>
      <c r="E13" s="111"/>
      <c r="F13" s="93"/>
      <c r="G13" s="86"/>
      <c r="H13" s="86"/>
      <c r="I13" s="86"/>
      <c r="J13" s="86"/>
      <c r="K13" s="86"/>
      <c r="L13" s="86"/>
      <c r="M13" s="86"/>
      <c r="N13" s="86"/>
      <c r="O13" s="86"/>
      <c r="P13" s="86"/>
      <c r="Q13" s="67">
        <f t="shared" si="0"/>
        <v>0</v>
      </c>
      <c r="R13" s="67">
        <f t="shared" si="1"/>
        <v>0</v>
      </c>
      <c r="S13" s="86"/>
      <c r="T13" s="86"/>
      <c r="U13" s="86"/>
      <c r="V13" s="86"/>
      <c r="W13" s="66">
        <f t="shared" si="2"/>
        <v>0</v>
      </c>
      <c r="X13" s="96"/>
      <c r="Y13" s="68">
        <f t="shared" si="3"/>
        <v>0</v>
      </c>
      <c r="Z13" s="68">
        <f t="shared" si="4"/>
        <v>0</v>
      </c>
      <c r="AA13" s="72"/>
      <c r="AB13" s="68">
        <f t="shared" si="7"/>
        <v>0</v>
      </c>
      <c r="AC13" s="68">
        <f t="shared" si="8"/>
        <v>0</v>
      </c>
      <c r="AD13" s="68"/>
      <c r="AE13" s="55"/>
      <c r="AF13" s="69">
        <f t="shared" si="5"/>
        <v>0</v>
      </c>
      <c r="AG13" s="86"/>
      <c r="AH13" s="108"/>
      <c r="AI13" s="108"/>
      <c r="AJ13" s="108"/>
      <c r="AK13" s="70">
        <f t="shared" si="6"/>
        <v>0</v>
      </c>
      <c r="AL13" s="71"/>
      <c r="AM13" s="48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</row>
    <row r="14" spans="1:115" ht="15" customHeight="1" x14ac:dyDescent="0.3">
      <c r="A14" s="65"/>
      <c r="B14" s="109"/>
      <c r="C14" s="110"/>
      <c r="D14" s="110"/>
      <c r="E14" s="111"/>
      <c r="F14" s="88"/>
      <c r="G14" s="86"/>
      <c r="H14" s="86"/>
      <c r="I14" s="86"/>
      <c r="J14" s="86"/>
      <c r="K14" s="86"/>
      <c r="L14" s="86"/>
      <c r="M14" s="86"/>
      <c r="N14" s="86"/>
      <c r="O14" s="86"/>
      <c r="P14" s="86"/>
      <c r="Q14" s="67">
        <f t="shared" si="0"/>
        <v>0</v>
      </c>
      <c r="R14" s="67">
        <f t="shared" si="1"/>
        <v>0</v>
      </c>
      <c r="S14" s="86"/>
      <c r="T14" s="86"/>
      <c r="U14" s="86"/>
      <c r="V14" s="86"/>
      <c r="W14" s="66">
        <f t="shared" si="2"/>
        <v>0</v>
      </c>
      <c r="X14" s="97"/>
      <c r="Y14" s="68">
        <f t="shared" si="3"/>
        <v>0</v>
      </c>
      <c r="Z14" s="68">
        <f t="shared" si="4"/>
        <v>0</v>
      </c>
      <c r="AA14" s="72"/>
      <c r="AB14" s="68">
        <f t="shared" si="7"/>
        <v>0</v>
      </c>
      <c r="AC14" s="68">
        <f t="shared" si="8"/>
        <v>0</v>
      </c>
      <c r="AD14" s="68"/>
      <c r="AE14" s="55"/>
      <c r="AF14" s="69">
        <f t="shared" si="5"/>
        <v>0</v>
      </c>
      <c r="AG14" s="86"/>
      <c r="AH14" s="108"/>
      <c r="AI14" s="108"/>
      <c r="AJ14" s="108"/>
      <c r="AK14" s="70">
        <f t="shared" si="6"/>
        <v>0</v>
      </c>
      <c r="AL14" s="71"/>
      <c r="AM14" s="48"/>
      <c r="AN14" s="5"/>
      <c r="AO14" s="5"/>
      <c r="AP14" s="5"/>
      <c r="AQ14" s="5"/>
      <c r="AR14" s="7"/>
      <c r="AS14" s="7"/>
      <c r="AT14" s="7"/>
      <c r="AU14" s="7"/>
      <c r="AV14" s="7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</row>
    <row r="15" spans="1:115" ht="15" customHeight="1" x14ac:dyDescent="0.3">
      <c r="A15" s="65"/>
      <c r="B15" s="109"/>
      <c r="C15" s="110"/>
      <c r="D15" s="110"/>
      <c r="E15" s="111"/>
      <c r="F15" s="85"/>
      <c r="G15" s="86"/>
      <c r="H15" s="86"/>
      <c r="I15" s="86"/>
      <c r="J15" s="86"/>
      <c r="K15" s="86"/>
      <c r="L15" s="86"/>
      <c r="M15" s="86"/>
      <c r="N15" s="86"/>
      <c r="O15" s="86"/>
      <c r="P15" s="86"/>
      <c r="Q15" s="67">
        <f t="shared" si="0"/>
        <v>0</v>
      </c>
      <c r="R15" s="67">
        <f t="shared" si="1"/>
        <v>0</v>
      </c>
      <c r="S15" s="86"/>
      <c r="T15" s="86"/>
      <c r="U15" s="86"/>
      <c r="V15" s="86"/>
      <c r="W15" s="66">
        <f t="shared" si="2"/>
        <v>0</v>
      </c>
      <c r="X15" s="97"/>
      <c r="Y15" s="68">
        <f t="shared" si="3"/>
        <v>0</v>
      </c>
      <c r="Z15" s="68">
        <f t="shared" si="4"/>
        <v>0</v>
      </c>
      <c r="AA15" s="72"/>
      <c r="AB15" s="68">
        <f t="shared" si="7"/>
        <v>0</v>
      </c>
      <c r="AC15" s="68">
        <f t="shared" si="8"/>
        <v>0</v>
      </c>
      <c r="AD15" s="68"/>
      <c r="AE15" s="55"/>
      <c r="AF15" s="69">
        <f t="shared" si="5"/>
        <v>0</v>
      </c>
      <c r="AG15" s="86"/>
      <c r="AH15" s="108"/>
      <c r="AI15" s="108"/>
      <c r="AJ15" s="108"/>
      <c r="AK15" s="70">
        <f t="shared" si="6"/>
        <v>0</v>
      </c>
      <c r="AL15" s="71"/>
      <c r="AM15" s="48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</row>
    <row r="16" spans="1:115" s="74" customFormat="1" ht="15" customHeight="1" x14ac:dyDescent="0.3">
      <c r="A16" s="65"/>
      <c r="B16" s="109"/>
      <c r="C16" s="110"/>
      <c r="D16" s="110"/>
      <c r="E16" s="111"/>
      <c r="F16" s="93"/>
      <c r="G16" s="86"/>
      <c r="H16" s="86"/>
      <c r="I16" s="86"/>
      <c r="J16" s="86"/>
      <c r="K16" s="86"/>
      <c r="L16" s="86"/>
      <c r="M16" s="86"/>
      <c r="N16" s="86"/>
      <c r="O16" s="86"/>
      <c r="P16" s="87"/>
      <c r="Q16" s="67">
        <f t="shared" si="0"/>
        <v>0</v>
      </c>
      <c r="R16" s="67">
        <f t="shared" si="1"/>
        <v>0</v>
      </c>
      <c r="S16" s="86"/>
      <c r="T16" s="86"/>
      <c r="U16" s="86"/>
      <c r="V16" s="86"/>
      <c r="W16" s="66">
        <f t="shared" si="2"/>
        <v>0</v>
      </c>
      <c r="X16" s="99"/>
      <c r="Y16" s="68">
        <f t="shared" si="3"/>
        <v>0</v>
      </c>
      <c r="Z16" s="68">
        <f t="shared" si="4"/>
        <v>0</v>
      </c>
      <c r="AA16" s="72"/>
      <c r="AB16" s="68">
        <f t="shared" si="7"/>
        <v>0</v>
      </c>
      <c r="AC16" s="68">
        <f t="shared" si="8"/>
        <v>0</v>
      </c>
      <c r="AD16" s="68"/>
      <c r="AE16" s="55"/>
      <c r="AF16" s="69">
        <f t="shared" si="5"/>
        <v>0</v>
      </c>
      <c r="AG16" s="86"/>
      <c r="AH16" s="108"/>
      <c r="AI16" s="108"/>
      <c r="AJ16" s="108"/>
      <c r="AK16" s="70">
        <f t="shared" si="6"/>
        <v>0</v>
      </c>
      <c r="AL16" s="71"/>
      <c r="AM16" s="48"/>
      <c r="AN16" s="5"/>
      <c r="AO16" s="5"/>
      <c r="AP16" s="5"/>
      <c r="AQ16" s="5"/>
      <c r="AR16" s="7"/>
      <c r="AS16" s="7"/>
      <c r="AT16" s="7"/>
      <c r="AU16" s="7"/>
      <c r="AV16" s="7"/>
      <c r="AW16"/>
      <c r="AX16"/>
      <c r="AY16"/>
      <c r="AZ16"/>
      <c r="BA16"/>
      <c r="BB16"/>
      <c r="BC16"/>
      <c r="BD16"/>
      <c r="BE16"/>
      <c r="BF16"/>
      <c r="BG16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</row>
    <row r="17" spans="1:115" ht="15" customHeight="1" x14ac:dyDescent="0.3">
      <c r="A17" s="65"/>
      <c r="B17" s="109"/>
      <c r="C17" s="110"/>
      <c r="D17" s="110"/>
      <c r="E17" s="111"/>
      <c r="F17" s="85"/>
      <c r="G17" s="86"/>
      <c r="H17" s="86"/>
      <c r="I17" s="86"/>
      <c r="J17" s="86"/>
      <c r="K17" s="86"/>
      <c r="L17" s="86"/>
      <c r="M17" s="86"/>
      <c r="N17" s="86"/>
      <c r="O17" s="86"/>
      <c r="P17" s="87"/>
      <c r="Q17" s="67">
        <f t="shared" si="0"/>
        <v>0</v>
      </c>
      <c r="R17" s="67">
        <f t="shared" si="1"/>
        <v>0</v>
      </c>
      <c r="S17" s="86"/>
      <c r="T17" s="86"/>
      <c r="U17" s="86"/>
      <c r="V17" s="86"/>
      <c r="W17" s="66">
        <f>G17+I17+K17+M17+O17+R17+S17+T17+U17+V17</f>
        <v>0</v>
      </c>
      <c r="X17" s="100"/>
      <c r="Y17" s="68">
        <f t="shared" si="3"/>
        <v>0</v>
      </c>
      <c r="Z17" s="68">
        <f t="shared" si="4"/>
        <v>0</v>
      </c>
      <c r="AA17" s="72"/>
      <c r="AB17" s="68">
        <f t="shared" si="7"/>
        <v>0</v>
      </c>
      <c r="AC17" s="68">
        <f t="shared" si="8"/>
        <v>0</v>
      </c>
      <c r="AD17" s="68"/>
      <c r="AE17" s="55"/>
      <c r="AF17" s="69">
        <f t="shared" si="5"/>
        <v>0</v>
      </c>
      <c r="AG17" s="86"/>
      <c r="AH17" s="108"/>
      <c r="AI17" s="108"/>
      <c r="AJ17" s="108"/>
      <c r="AK17" s="70">
        <f t="shared" si="6"/>
        <v>0</v>
      </c>
      <c r="AL17" s="71"/>
      <c r="AM17" s="48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</row>
    <row r="18" spans="1:115" ht="15" customHeight="1" x14ac:dyDescent="0.3">
      <c r="A18" s="65"/>
      <c r="B18" s="109"/>
      <c r="C18" s="110"/>
      <c r="D18" s="110"/>
      <c r="E18" s="111"/>
      <c r="F18" s="88"/>
      <c r="G18" s="86"/>
      <c r="H18" s="86"/>
      <c r="I18" s="86"/>
      <c r="J18" s="86"/>
      <c r="K18" s="86"/>
      <c r="L18" s="86"/>
      <c r="M18" s="86"/>
      <c r="N18" s="86"/>
      <c r="O18" s="86"/>
      <c r="P18" s="89"/>
      <c r="Q18" s="67">
        <f t="shared" si="0"/>
        <v>0</v>
      </c>
      <c r="R18" s="67">
        <f t="shared" si="1"/>
        <v>0</v>
      </c>
      <c r="S18" s="86"/>
      <c r="T18" s="86"/>
      <c r="U18" s="86"/>
      <c r="V18" s="86"/>
      <c r="W18" s="66">
        <f t="shared" si="2"/>
        <v>0</v>
      </c>
      <c r="X18" s="96"/>
      <c r="Y18" s="68">
        <f t="shared" si="3"/>
        <v>0</v>
      </c>
      <c r="Z18" s="68">
        <f t="shared" si="4"/>
        <v>0</v>
      </c>
      <c r="AA18" s="72"/>
      <c r="AB18" s="68">
        <f t="shared" si="7"/>
        <v>0</v>
      </c>
      <c r="AC18" s="68">
        <f t="shared" si="8"/>
        <v>0</v>
      </c>
      <c r="AD18" s="68"/>
      <c r="AE18" s="55"/>
      <c r="AF18" s="69">
        <f t="shared" si="5"/>
        <v>0</v>
      </c>
      <c r="AG18" s="86"/>
      <c r="AH18" s="108"/>
      <c r="AI18" s="108"/>
      <c r="AJ18" s="108"/>
      <c r="AK18" s="70">
        <f t="shared" si="6"/>
        <v>0</v>
      </c>
      <c r="AL18" s="71"/>
      <c r="AM18" s="48"/>
      <c r="AN18" s="5"/>
      <c r="AO18" s="5"/>
      <c r="AP18" s="5"/>
      <c r="AQ18" s="5"/>
      <c r="AR18" s="7"/>
      <c r="AS18" s="7"/>
      <c r="AT18" s="7"/>
      <c r="AU18" s="7"/>
      <c r="AV18" s="7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</row>
    <row r="19" spans="1:115" ht="15" customHeight="1" x14ac:dyDescent="0.3">
      <c r="A19" s="65"/>
      <c r="B19" s="109"/>
      <c r="C19" s="110"/>
      <c r="D19" s="110"/>
      <c r="E19" s="111"/>
      <c r="F19" s="88" t="s">
        <v>51</v>
      </c>
      <c r="G19" s="86"/>
      <c r="H19" s="86"/>
      <c r="I19" s="86"/>
      <c r="J19" s="86"/>
      <c r="K19" s="86"/>
      <c r="L19" s="86"/>
      <c r="M19" s="86"/>
      <c r="N19" s="86"/>
      <c r="O19" s="86"/>
      <c r="P19" s="86"/>
      <c r="Q19" s="67">
        <f t="shared" si="0"/>
        <v>0</v>
      </c>
      <c r="R19" s="67">
        <f t="shared" si="1"/>
        <v>0</v>
      </c>
      <c r="S19" s="86"/>
      <c r="T19" s="86"/>
      <c r="U19" s="86"/>
      <c r="V19" s="86"/>
      <c r="W19" s="66">
        <f t="shared" si="2"/>
        <v>0</v>
      </c>
      <c r="X19" s="97"/>
      <c r="Y19" s="68">
        <f t="shared" si="3"/>
        <v>0</v>
      </c>
      <c r="Z19" s="68">
        <f t="shared" si="4"/>
        <v>0</v>
      </c>
      <c r="AA19" s="72"/>
      <c r="AB19" s="68">
        <f t="shared" si="7"/>
        <v>0</v>
      </c>
      <c r="AC19" s="68">
        <f t="shared" si="8"/>
        <v>0</v>
      </c>
      <c r="AD19" s="68"/>
      <c r="AE19" s="55"/>
      <c r="AF19" s="69">
        <f t="shared" si="5"/>
        <v>0</v>
      </c>
      <c r="AG19" s="86"/>
      <c r="AH19" s="108"/>
      <c r="AI19" s="108"/>
      <c r="AJ19" s="108"/>
      <c r="AK19" s="70">
        <f t="shared" si="6"/>
        <v>0</v>
      </c>
      <c r="AL19" s="71"/>
      <c r="AM19" s="48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</row>
    <row r="20" spans="1:115" ht="15" customHeight="1" x14ac:dyDescent="0.3">
      <c r="A20" s="65"/>
      <c r="B20" s="109"/>
      <c r="C20" s="110"/>
      <c r="D20" s="110"/>
      <c r="E20" s="111"/>
      <c r="F20" s="85"/>
      <c r="G20" s="86"/>
      <c r="H20" s="86"/>
      <c r="I20" s="86"/>
      <c r="J20" s="86"/>
      <c r="K20" s="86"/>
      <c r="L20" s="86"/>
      <c r="M20" s="86"/>
      <c r="N20" s="86"/>
      <c r="O20" s="86"/>
      <c r="P20" s="86"/>
      <c r="Q20" s="67">
        <f t="shared" si="0"/>
        <v>0</v>
      </c>
      <c r="R20" s="67">
        <f t="shared" si="1"/>
        <v>0</v>
      </c>
      <c r="S20" s="86"/>
      <c r="T20" s="86"/>
      <c r="U20" s="86"/>
      <c r="V20" s="86"/>
      <c r="W20" s="66">
        <f t="shared" si="2"/>
        <v>0</v>
      </c>
      <c r="X20" s="98"/>
      <c r="Y20" s="68">
        <f t="shared" si="3"/>
        <v>0</v>
      </c>
      <c r="Z20" s="68">
        <f t="shared" si="4"/>
        <v>0</v>
      </c>
      <c r="AA20" s="72"/>
      <c r="AB20" s="68">
        <f t="shared" si="7"/>
        <v>0</v>
      </c>
      <c r="AC20" s="68">
        <f t="shared" si="8"/>
        <v>0</v>
      </c>
      <c r="AD20" s="68"/>
      <c r="AE20" s="55"/>
      <c r="AF20" s="69">
        <f t="shared" si="5"/>
        <v>0</v>
      </c>
      <c r="AG20" s="86"/>
      <c r="AH20" s="108"/>
      <c r="AI20" s="108"/>
      <c r="AJ20" s="108"/>
      <c r="AK20" s="70">
        <f t="shared" si="6"/>
        <v>0</v>
      </c>
      <c r="AL20" s="71"/>
      <c r="AM20" s="48"/>
      <c r="AN20" s="5"/>
      <c r="AO20" s="5"/>
      <c r="AP20" s="5"/>
      <c r="AQ20" s="5"/>
      <c r="AR20" s="7"/>
      <c r="AS20" s="7"/>
      <c r="AT20" s="7"/>
      <c r="AU20" s="7"/>
      <c r="AV20" s="7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</row>
    <row r="21" spans="1:115" s="42" customFormat="1" ht="15" customHeight="1" x14ac:dyDescent="0.3">
      <c r="A21" s="65"/>
      <c r="B21" s="109"/>
      <c r="C21" s="110"/>
      <c r="D21" s="110"/>
      <c r="E21" s="111"/>
      <c r="F21" s="85"/>
      <c r="G21" s="86"/>
      <c r="H21" s="86"/>
      <c r="I21" s="86"/>
      <c r="J21" s="86"/>
      <c r="K21" s="86"/>
      <c r="L21" s="86"/>
      <c r="M21" s="86"/>
      <c r="N21" s="86"/>
      <c r="O21" s="86"/>
      <c r="P21" s="87"/>
      <c r="Q21" s="67">
        <f t="shared" si="0"/>
        <v>0</v>
      </c>
      <c r="R21" s="67">
        <f t="shared" si="1"/>
        <v>0</v>
      </c>
      <c r="S21" s="86"/>
      <c r="T21" s="86"/>
      <c r="U21" s="86"/>
      <c r="V21" s="86"/>
      <c r="W21" s="66">
        <f t="shared" si="2"/>
        <v>0</v>
      </c>
      <c r="X21" s="99"/>
      <c r="Y21" s="68">
        <f t="shared" si="3"/>
        <v>0</v>
      </c>
      <c r="Z21" s="68">
        <f t="shared" si="4"/>
        <v>0</v>
      </c>
      <c r="AA21" s="72"/>
      <c r="AB21" s="68">
        <f t="shared" si="7"/>
        <v>0</v>
      </c>
      <c r="AC21" s="68">
        <f t="shared" si="8"/>
        <v>0</v>
      </c>
      <c r="AD21" s="68"/>
      <c r="AE21" s="55"/>
      <c r="AF21" s="69">
        <f t="shared" si="5"/>
        <v>0</v>
      </c>
      <c r="AG21" s="86"/>
      <c r="AH21" s="108"/>
      <c r="AI21" s="108"/>
      <c r="AJ21" s="108"/>
      <c r="AK21" s="70">
        <f t="shared" si="6"/>
        <v>0</v>
      </c>
      <c r="AL21" s="71"/>
      <c r="AM21" s="48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</row>
    <row r="22" spans="1:115" ht="15" customHeight="1" x14ac:dyDescent="0.3">
      <c r="A22" s="65"/>
      <c r="B22" s="109"/>
      <c r="C22" s="110"/>
      <c r="D22" s="110"/>
      <c r="E22" s="111"/>
      <c r="F22" s="85"/>
      <c r="G22" s="86"/>
      <c r="H22" s="86"/>
      <c r="I22" s="86"/>
      <c r="J22" s="86"/>
      <c r="K22" s="86"/>
      <c r="L22" s="86"/>
      <c r="M22" s="86"/>
      <c r="N22" s="86"/>
      <c r="O22" s="86"/>
      <c r="P22" s="86"/>
      <c r="Q22" s="67">
        <f t="shared" si="0"/>
        <v>0</v>
      </c>
      <c r="R22" s="67">
        <f t="shared" si="1"/>
        <v>0</v>
      </c>
      <c r="S22" s="86"/>
      <c r="T22" s="86"/>
      <c r="U22" s="86"/>
      <c r="V22" s="86"/>
      <c r="W22" s="66">
        <f t="shared" si="2"/>
        <v>0</v>
      </c>
      <c r="X22" s="98"/>
      <c r="Y22" s="68">
        <f t="shared" si="3"/>
        <v>0</v>
      </c>
      <c r="Z22" s="68">
        <f t="shared" si="4"/>
        <v>0</v>
      </c>
      <c r="AA22" s="72"/>
      <c r="AB22" s="68">
        <f t="shared" si="7"/>
        <v>0</v>
      </c>
      <c r="AC22" s="68">
        <f t="shared" si="8"/>
        <v>0</v>
      </c>
      <c r="AD22" s="68"/>
      <c r="AE22" s="55"/>
      <c r="AF22" s="69">
        <f t="shared" si="5"/>
        <v>0</v>
      </c>
      <c r="AG22" s="86"/>
      <c r="AH22" s="108"/>
      <c r="AI22" s="108"/>
      <c r="AJ22" s="108"/>
      <c r="AK22" s="70">
        <f t="shared" si="6"/>
        <v>0</v>
      </c>
      <c r="AL22" s="71"/>
      <c r="AM22" s="48"/>
      <c r="AN22" s="5"/>
      <c r="AO22" s="5"/>
      <c r="AP22" s="5"/>
      <c r="AQ22" s="5"/>
      <c r="AR22" s="7"/>
      <c r="AS22" s="7"/>
      <c r="AT22" s="7"/>
      <c r="AU22" s="7"/>
      <c r="AV22" s="7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</row>
    <row r="23" spans="1:115" ht="15" customHeight="1" x14ac:dyDescent="0.3">
      <c r="A23" s="65"/>
      <c r="B23" s="109"/>
      <c r="C23" s="110"/>
      <c r="D23" s="110"/>
      <c r="E23" s="111"/>
      <c r="F23" s="85"/>
      <c r="G23" s="86"/>
      <c r="H23" s="86"/>
      <c r="I23" s="86"/>
      <c r="J23" s="86"/>
      <c r="K23" s="86"/>
      <c r="L23" s="86"/>
      <c r="M23" s="86"/>
      <c r="N23" s="86"/>
      <c r="O23" s="86"/>
      <c r="P23" s="86"/>
      <c r="Q23" s="67">
        <f t="shared" si="0"/>
        <v>0</v>
      </c>
      <c r="R23" s="67">
        <f t="shared" si="1"/>
        <v>0</v>
      </c>
      <c r="S23" s="86"/>
      <c r="T23" s="86"/>
      <c r="U23" s="86"/>
      <c r="V23" s="86"/>
      <c r="W23" s="66">
        <f t="shared" si="2"/>
        <v>0</v>
      </c>
      <c r="X23" s="98"/>
      <c r="Y23" s="68">
        <f t="shared" si="3"/>
        <v>0</v>
      </c>
      <c r="Z23" s="68">
        <f t="shared" si="4"/>
        <v>0</v>
      </c>
      <c r="AA23" s="72"/>
      <c r="AB23" s="68">
        <f t="shared" si="7"/>
        <v>0</v>
      </c>
      <c r="AC23" s="68">
        <f t="shared" si="8"/>
        <v>0</v>
      </c>
      <c r="AD23" s="68"/>
      <c r="AE23" s="55"/>
      <c r="AF23" s="69">
        <f t="shared" si="5"/>
        <v>0</v>
      </c>
      <c r="AG23" s="86"/>
      <c r="AH23" s="108"/>
      <c r="AI23" s="108"/>
      <c r="AJ23" s="108"/>
      <c r="AK23" s="70">
        <f t="shared" si="6"/>
        <v>0</v>
      </c>
      <c r="AL23" s="71"/>
      <c r="AM23" s="48"/>
      <c r="AN23" s="5"/>
      <c r="AO23" s="5"/>
      <c r="AP23" s="5"/>
      <c r="AQ23" s="5"/>
      <c r="AR23" s="7"/>
      <c r="AS23" s="7"/>
      <c r="AT23" s="7"/>
      <c r="AU23" s="7"/>
      <c r="AV23" s="7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</row>
    <row r="24" spans="1:115" ht="15" customHeight="1" x14ac:dyDescent="0.3">
      <c r="A24" s="65"/>
      <c r="B24" s="109"/>
      <c r="C24" s="110"/>
      <c r="D24" s="110"/>
      <c r="E24" s="111"/>
      <c r="F24" s="85"/>
      <c r="G24" s="86"/>
      <c r="H24" s="86"/>
      <c r="I24" s="86"/>
      <c r="J24" s="86"/>
      <c r="K24" s="86"/>
      <c r="L24" s="86"/>
      <c r="M24" s="86"/>
      <c r="N24" s="86"/>
      <c r="O24" s="86"/>
      <c r="P24" s="86"/>
      <c r="Q24" s="67">
        <f t="shared" si="0"/>
        <v>0</v>
      </c>
      <c r="R24" s="67">
        <f t="shared" si="1"/>
        <v>0</v>
      </c>
      <c r="S24" s="86"/>
      <c r="T24" s="86"/>
      <c r="U24" s="86"/>
      <c r="V24" s="86"/>
      <c r="W24" s="66">
        <f t="shared" si="2"/>
        <v>0</v>
      </c>
      <c r="X24" s="98"/>
      <c r="Y24" s="68">
        <f t="shared" si="3"/>
        <v>0</v>
      </c>
      <c r="Z24" s="68">
        <f t="shared" si="4"/>
        <v>0</v>
      </c>
      <c r="AA24" s="72"/>
      <c r="AB24" s="68">
        <f t="shared" si="7"/>
        <v>0</v>
      </c>
      <c r="AC24" s="68">
        <f t="shared" si="8"/>
        <v>0</v>
      </c>
      <c r="AD24" s="68"/>
      <c r="AE24" s="55"/>
      <c r="AF24" s="69">
        <f t="shared" si="5"/>
        <v>0</v>
      </c>
      <c r="AG24" s="86"/>
      <c r="AH24" s="108"/>
      <c r="AI24" s="108"/>
      <c r="AJ24" s="108"/>
      <c r="AK24" s="70">
        <f t="shared" si="6"/>
        <v>0</v>
      </c>
      <c r="AL24" s="71"/>
      <c r="AM24" s="48"/>
      <c r="AN24" s="5"/>
      <c r="AO24" s="5"/>
      <c r="AP24" s="5"/>
      <c r="AQ24" s="5"/>
      <c r="AR24" s="7"/>
      <c r="AS24" s="7"/>
      <c r="AT24" s="7"/>
      <c r="AU24" s="7"/>
      <c r="AV24" s="7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</row>
    <row r="25" spans="1:115" ht="15" customHeight="1" x14ac:dyDescent="0.3">
      <c r="A25" s="65"/>
      <c r="B25" s="109"/>
      <c r="C25" s="110"/>
      <c r="D25" s="110"/>
      <c r="E25" s="111"/>
      <c r="F25" s="85"/>
      <c r="G25" s="86"/>
      <c r="H25" s="86"/>
      <c r="I25" s="86"/>
      <c r="J25" s="86"/>
      <c r="K25" s="86"/>
      <c r="L25" s="86"/>
      <c r="M25" s="86"/>
      <c r="N25" s="86"/>
      <c r="O25" s="86"/>
      <c r="P25" s="86"/>
      <c r="Q25" s="67">
        <f t="shared" si="0"/>
        <v>0</v>
      </c>
      <c r="R25" s="67">
        <f t="shared" si="1"/>
        <v>0</v>
      </c>
      <c r="S25" s="86"/>
      <c r="T25" s="86"/>
      <c r="U25" s="86"/>
      <c r="V25" s="86"/>
      <c r="W25" s="66">
        <f t="shared" si="2"/>
        <v>0</v>
      </c>
      <c r="X25" s="98"/>
      <c r="Y25" s="68">
        <f t="shared" si="3"/>
        <v>0</v>
      </c>
      <c r="Z25" s="68">
        <f t="shared" si="4"/>
        <v>0</v>
      </c>
      <c r="AA25" s="72"/>
      <c r="AB25" s="68">
        <f t="shared" si="7"/>
        <v>0</v>
      </c>
      <c r="AC25" s="68">
        <f t="shared" si="8"/>
        <v>0</v>
      </c>
      <c r="AD25" s="68"/>
      <c r="AE25" s="55"/>
      <c r="AF25" s="69">
        <f t="shared" si="5"/>
        <v>0</v>
      </c>
      <c r="AG25" s="86"/>
      <c r="AH25" s="108"/>
      <c r="AI25" s="108"/>
      <c r="AJ25" s="108"/>
      <c r="AK25" s="70">
        <f t="shared" si="6"/>
        <v>0</v>
      </c>
      <c r="AL25" s="71"/>
      <c r="AM25" s="48"/>
      <c r="AN25" s="5"/>
      <c r="AO25" s="5"/>
      <c r="AP25" s="5"/>
      <c r="AQ25" s="5"/>
      <c r="AR25" s="7"/>
      <c r="AS25" s="7"/>
      <c r="AT25" s="7"/>
      <c r="AU25" s="7"/>
      <c r="AV25" s="7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</row>
    <row r="26" spans="1:115" ht="15" customHeight="1" x14ac:dyDescent="0.3">
      <c r="A26" s="65"/>
      <c r="B26" s="109"/>
      <c r="C26" s="110"/>
      <c r="D26" s="110"/>
      <c r="E26" s="111"/>
      <c r="F26" s="85"/>
      <c r="G26" s="86"/>
      <c r="H26" s="86"/>
      <c r="I26" s="86"/>
      <c r="J26" s="86"/>
      <c r="K26" s="86"/>
      <c r="L26" s="86"/>
      <c r="M26" s="86"/>
      <c r="N26" s="86"/>
      <c r="O26" s="86"/>
      <c r="P26" s="86"/>
      <c r="Q26" s="67">
        <f t="shared" si="0"/>
        <v>0</v>
      </c>
      <c r="R26" s="67">
        <f t="shared" si="1"/>
        <v>0</v>
      </c>
      <c r="S26" s="86"/>
      <c r="T26" s="86"/>
      <c r="U26" s="86"/>
      <c r="V26" s="86"/>
      <c r="W26" s="66">
        <f t="shared" si="2"/>
        <v>0</v>
      </c>
      <c r="X26" s="98"/>
      <c r="Y26" s="68">
        <f t="shared" si="3"/>
        <v>0</v>
      </c>
      <c r="Z26" s="68">
        <f t="shared" si="4"/>
        <v>0</v>
      </c>
      <c r="AA26" s="72"/>
      <c r="AB26" s="68">
        <f t="shared" si="7"/>
        <v>0</v>
      </c>
      <c r="AC26" s="68">
        <f t="shared" si="8"/>
        <v>0</v>
      </c>
      <c r="AD26" s="68"/>
      <c r="AE26" s="55"/>
      <c r="AF26" s="69">
        <f t="shared" si="5"/>
        <v>0</v>
      </c>
      <c r="AG26" s="86"/>
      <c r="AH26" s="108"/>
      <c r="AI26" s="108"/>
      <c r="AJ26" s="108"/>
      <c r="AK26" s="70">
        <f t="shared" si="6"/>
        <v>0</v>
      </c>
      <c r="AL26" s="71"/>
      <c r="AM26" s="48"/>
      <c r="AN26" s="5"/>
      <c r="AO26" s="5"/>
      <c r="AP26" s="5"/>
      <c r="AQ26" s="5"/>
      <c r="AR26" s="7"/>
      <c r="AS26" s="7"/>
      <c r="AT26" s="7"/>
      <c r="AU26" s="7"/>
      <c r="AV26" s="7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</row>
    <row r="27" spans="1:115" ht="15" customHeight="1" x14ac:dyDescent="0.3">
      <c r="A27" s="65"/>
      <c r="B27" s="109"/>
      <c r="C27" s="110"/>
      <c r="D27" s="110"/>
      <c r="E27" s="111"/>
      <c r="F27" s="85"/>
      <c r="G27" s="86"/>
      <c r="H27" s="86"/>
      <c r="I27" s="86"/>
      <c r="J27" s="86"/>
      <c r="K27" s="86"/>
      <c r="L27" s="86"/>
      <c r="M27" s="86"/>
      <c r="N27" s="86"/>
      <c r="O27" s="86"/>
      <c r="P27" s="86"/>
      <c r="Q27" s="67">
        <f t="shared" si="0"/>
        <v>0</v>
      </c>
      <c r="R27" s="67">
        <f t="shared" si="1"/>
        <v>0</v>
      </c>
      <c r="S27" s="86"/>
      <c r="T27" s="86"/>
      <c r="U27" s="86"/>
      <c r="V27" s="86"/>
      <c r="W27" s="66">
        <f t="shared" si="2"/>
        <v>0</v>
      </c>
      <c r="X27" s="98"/>
      <c r="Y27" s="68">
        <f t="shared" si="3"/>
        <v>0</v>
      </c>
      <c r="Z27" s="68">
        <f t="shared" si="4"/>
        <v>0</v>
      </c>
      <c r="AA27" s="72"/>
      <c r="AB27" s="68">
        <f t="shared" si="7"/>
        <v>0</v>
      </c>
      <c r="AC27" s="68">
        <f t="shared" si="8"/>
        <v>0</v>
      </c>
      <c r="AD27" s="68"/>
      <c r="AE27" s="55"/>
      <c r="AF27" s="69">
        <f t="shared" si="5"/>
        <v>0</v>
      </c>
      <c r="AG27" s="86"/>
      <c r="AH27" s="108"/>
      <c r="AI27" s="108"/>
      <c r="AJ27" s="108"/>
      <c r="AK27" s="70">
        <f t="shared" si="6"/>
        <v>0</v>
      </c>
      <c r="AL27" s="71"/>
      <c r="AM27" s="48"/>
      <c r="AN27" s="5"/>
      <c r="AO27" s="5"/>
      <c r="AP27" s="5"/>
      <c r="AQ27" s="5"/>
      <c r="AR27" s="7"/>
      <c r="AS27" s="7"/>
      <c r="AT27" s="7"/>
      <c r="AU27" s="7"/>
      <c r="AV27" s="7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</row>
    <row r="28" spans="1:115" ht="15" customHeight="1" x14ac:dyDescent="0.3">
      <c r="A28" s="65"/>
      <c r="B28" s="109"/>
      <c r="C28" s="110"/>
      <c r="D28" s="110"/>
      <c r="E28" s="111"/>
      <c r="F28" s="85"/>
      <c r="G28" s="86"/>
      <c r="H28" s="86"/>
      <c r="I28" s="86"/>
      <c r="J28" s="86"/>
      <c r="K28" s="86"/>
      <c r="L28" s="86"/>
      <c r="M28" s="86"/>
      <c r="N28" s="86"/>
      <c r="O28" s="86"/>
      <c r="P28" s="86"/>
      <c r="Q28" s="67">
        <f t="shared" si="0"/>
        <v>0</v>
      </c>
      <c r="R28" s="67">
        <f t="shared" si="1"/>
        <v>0</v>
      </c>
      <c r="S28" s="86"/>
      <c r="T28" s="86"/>
      <c r="U28" s="86"/>
      <c r="V28" s="86"/>
      <c r="W28" s="66">
        <f t="shared" si="2"/>
        <v>0</v>
      </c>
      <c r="X28" s="98"/>
      <c r="Y28" s="68">
        <f t="shared" si="3"/>
        <v>0</v>
      </c>
      <c r="Z28" s="68">
        <f t="shared" si="4"/>
        <v>0</v>
      </c>
      <c r="AA28" s="72"/>
      <c r="AB28" s="68">
        <f t="shared" si="7"/>
        <v>0</v>
      </c>
      <c r="AC28" s="68">
        <f t="shared" si="8"/>
        <v>0</v>
      </c>
      <c r="AD28" s="68"/>
      <c r="AE28" s="55"/>
      <c r="AF28" s="69">
        <f t="shared" si="5"/>
        <v>0</v>
      </c>
      <c r="AG28" s="86"/>
      <c r="AH28" s="108"/>
      <c r="AI28" s="108"/>
      <c r="AJ28" s="108"/>
      <c r="AK28" s="70">
        <f t="shared" si="6"/>
        <v>0</v>
      </c>
      <c r="AL28" s="71"/>
      <c r="AM28" s="48"/>
      <c r="AN28" s="5"/>
      <c r="AO28" s="5"/>
      <c r="AP28" s="5"/>
      <c r="AQ28" s="5"/>
      <c r="AR28" s="7"/>
      <c r="AS28" s="7"/>
      <c r="AT28" s="7"/>
      <c r="AU28" s="7"/>
      <c r="AV28" s="7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</row>
    <row r="29" spans="1:115" ht="15" customHeight="1" x14ac:dyDescent="0.3">
      <c r="A29" s="65"/>
      <c r="B29" s="109"/>
      <c r="C29" s="110"/>
      <c r="D29" s="110"/>
      <c r="E29" s="111"/>
      <c r="F29" s="85"/>
      <c r="G29" s="86"/>
      <c r="H29" s="86"/>
      <c r="I29" s="86"/>
      <c r="J29" s="86"/>
      <c r="K29" s="86"/>
      <c r="L29" s="86"/>
      <c r="M29" s="86"/>
      <c r="N29" s="86"/>
      <c r="O29" s="86"/>
      <c r="P29" s="86"/>
      <c r="Q29" s="67">
        <f t="shared" si="0"/>
        <v>0</v>
      </c>
      <c r="R29" s="67">
        <f t="shared" si="1"/>
        <v>0</v>
      </c>
      <c r="S29" s="86"/>
      <c r="T29" s="86"/>
      <c r="U29" s="86"/>
      <c r="V29" s="86"/>
      <c r="W29" s="66">
        <f t="shared" si="2"/>
        <v>0</v>
      </c>
      <c r="X29" s="98"/>
      <c r="Y29" s="68">
        <f t="shared" si="3"/>
        <v>0</v>
      </c>
      <c r="Z29" s="68">
        <f t="shared" si="4"/>
        <v>0</v>
      </c>
      <c r="AA29" s="72"/>
      <c r="AB29" s="68">
        <f t="shared" si="7"/>
        <v>0</v>
      </c>
      <c r="AC29" s="68">
        <f t="shared" si="8"/>
        <v>0</v>
      </c>
      <c r="AD29" s="68"/>
      <c r="AE29" s="55"/>
      <c r="AF29" s="69">
        <f t="shared" si="5"/>
        <v>0</v>
      </c>
      <c r="AG29" s="86"/>
      <c r="AH29" s="108"/>
      <c r="AI29" s="108"/>
      <c r="AJ29" s="108"/>
      <c r="AK29" s="70">
        <f t="shared" si="6"/>
        <v>0</v>
      </c>
      <c r="AL29" s="71"/>
      <c r="AM29" s="48"/>
      <c r="AN29" s="5"/>
      <c r="AO29" s="5"/>
      <c r="AP29" s="5"/>
      <c r="AQ29" s="5"/>
      <c r="AR29" s="7"/>
      <c r="AS29" s="7"/>
      <c r="AT29" s="7"/>
      <c r="AU29" s="7"/>
      <c r="AV29" s="7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</row>
    <row r="30" spans="1:115" ht="15" customHeight="1" x14ac:dyDescent="0.3">
      <c r="A30" s="65"/>
      <c r="B30" s="109"/>
      <c r="C30" s="110"/>
      <c r="D30" s="110"/>
      <c r="E30" s="111"/>
      <c r="F30" s="85"/>
      <c r="G30" s="86"/>
      <c r="H30" s="86"/>
      <c r="I30" s="86"/>
      <c r="J30" s="86"/>
      <c r="K30" s="86"/>
      <c r="L30" s="86"/>
      <c r="M30" s="86"/>
      <c r="N30" s="86"/>
      <c r="O30" s="86"/>
      <c r="P30" s="86"/>
      <c r="Q30" s="67">
        <f t="shared" si="0"/>
        <v>0</v>
      </c>
      <c r="R30" s="67">
        <f t="shared" si="1"/>
        <v>0</v>
      </c>
      <c r="S30" s="86"/>
      <c r="T30" s="86"/>
      <c r="U30" s="86"/>
      <c r="V30" s="86"/>
      <c r="W30" s="66">
        <f t="shared" si="2"/>
        <v>0</v>
      </c>
      <c r="X30" s="98"/>
      <c r="Y30" s="68">
        <f t="shared" si="3"/>
        <v>0</v>
      </c>
      <c r="Z30" s="68">
        <f t="shared" si="4"/>
        <v>0</v>
      </c>
      <c r="AA30" s="72"/>
      <c r="AB30" s="68">
        <f t="shared" si="7"/>
        <v>0</v>
      </c>
      <c r="AC30" s="68">
        <f t="shared" si="8"/>
        <v>0</v>
      </c>
      <c r="AD30" s="68"/>
      <c r="AE30" s="55"/>
      <c r="AF30" s="69">
        <f t="shared" si="5"/>
        <v>0</v>
      </c>
      <c r="AG30" s="86"/>
      <c r="AH30" s="108"/>
      <c r="AI30" s="108"/>
      <c r="AJ30" s="108"/>
      <c r="AK30" s="70">
        <f t="shared" si="6"/>
        <v>0</v>
      </c>
      <c r="AL30" s="71"/>
      <c r="AM30" s="48"/>
      <c r="AN30" s="5"/>
      <c r="AO30" s="5"/>
      <c r="AP30" s="5"/>
      <c r="AQ30" s="5"/>
      <c r="AR30" s="7"/>
      <c r="AS30" s="7"/>
      <c r="AT30" s="7"/>
      <c r="AU30" s="7"/>
      <c r="AV30" s="7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</row>
    <row r="31" spans="1:115" ht="15" customHeight="1" x14ac:dyDescent="0.3">
      <c r="A31" s="65"/>
      <c r="B31" s="109"/>
      <c r="C31" s="110"/>
      <c r="D31" s="110"/>
      <c r="E31" s="111"/>
      <c r="F31" s="85"/>
      <c r="G31" s="86"/>
      <c r="H31" s="86"/>
      <c r="I31" s="86"/>
      <c r="J31" s="86"/>
      <c r="K31" s="86"/>
      <c r="L31" s="86"/>
      <c r="M31" s="86"/>
      <c r="N31" s="86"/>
      <c r="O31" s="86"/>
      <c r="P31" s="86"/>
      <c r="Q31" s="67">
        <f t="shared" si="0"/>
        <v>0</v>
      </c>
      <c r="R31" s="67">
        <f t="shared" si="1"/>
        <v>0</v>
      </c>
      <c r="S31" s="86"/>
      <c r="T31" s="86"/>
      <c r="U31" s="86"/>
      <c r="V31" s="86"/>
      <c r="W31" s="66">
        <f t="shared" si="2"/>
        <v>0</v>
      </c>
      <c r="X31" s="98"/>
      <c r="Y31" s="68">
        <f t="shared" si="3"/>
        <v>0</v>
      </c>
      <c r="Z31" s="68">
        <f t="shared" si="4"/>
        <v>0</v>
      </c>
      <c r="AA31" s="72"/>
      <c r="AB31" s="68">
        <f t="shared" si="7"/>
        <v>0</v>
      </c>
      <c r="AC31" s="68">
        <f t="shared" si="8"/>
        <v>0</v>
      </c>
      <c r="AD31" s="68"/>
      <c r="AE31" s="55"/>
      <c r="AF31" s="69">
        <f t="shared" si="5"/>
        <v>0</v>
      </c>
      <c r="AG31" s="86"/>
      <c r="AH31" s="108"/>
      <c r="AI31" s="108"/>
      <c r="AJ31" s="108"/>
      <c r="AK31" s="70">
        <f t="shared" si="6"/>
        <v>0</v>
      </c>
      <c r="AL31" s="71"/>
      <c r="AM31" s="48"/>
      <c r="AN31" s="5"/>
      <c r="AO31" s="5"/>
      <c r="AP31" s="5"/>
      <c r="AQ31" s="5"/>
      <c r="AR31" s="7"/>
      <c r="AS31" s="7"/>
      <c r="AT31" s="7"/>
      <c r="AU31" s="7"/>
      <c r="AV31" s="7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</row>
    <row r="32" spans="1:115" ht="15" customHeight="1" x14ac:dyDescent="0.3">
      <c r="A32" s="65"/>
      <c r="B32" s="109"/>
      <c r="C32" s="110"/>
      <c r="D32" s="110"/>
      <c r="E32" s="111"/>
      <c r="F32" s="85"/>
      <c r="G32" s="86"/>
      <c r="H32" s="86"/>
      <c r="I32" s="86"/>
      <c r="J32" s="86"/>
      <c r="K32" s="86"/>
      <c r="L32" s="86"/>
      <c r="M32" s="86"/>
      <c r="N32" s="86"/>
      <c r="O32" s="86"/>
      <c r="P32" s="86"/>
      <c r="Q32" s="67">
        <f t="shared" si="0"/>
        <v>0</v>
      </c>
      <c r="R32" s="67">
        <f t="shared" si="1"/>
        <v>0</v>
      </c>
      <c r="S32" s="86"/>
      <c r="T32" s="86"/>
      <c r="U32" s="86"/>
      <c r="V32" s="86"/>
      <c r="W32" s="66">
        <f t="shared" si="2"/>
        <v>0</v>
      </c>
      <c r="X32" s="98"/>
      <c r="Y32" s="68">
        <f t="shared" si="3"/>
        <v>0</v>
      </c>
      <c r="Z32" s="68">
        <f t="shared" si="4"/>
        <v>0</v>
      </c>
      <c r="AA32" s="72"/>
      <c r="AB32" s="68">
        <f t="shared" si="7"/>
        <v>0</v>
      </c>
      <c r="AC32" s="68">
        <f t="shared" si="8"/>
        <v>0</v>
      </c>
      <c r="AD32" s="68"/>
      <c r="AE32" s="55"/>
      <c r="AF32" s="69">
        <f t="shared" si="5"/>
        <v>0</v>
      </c>
      <c r="AG32" s="86"/>
      <c r="AH32" s="108"/>
      <c r="AI32" s="108"/>
      <c r="AJ32" s="108"/>
      <c r="AK32" s="70">
        <f t="shared" si="6"/>
        <v>0</v>
      </c>
      <c r="AL32" s="71"/>
      <c r="AM32" s="48"/>
      <c r="AN32" s="5"/>
      <c r="AO32" s="5"/>
      <c r="AP32" s="5"/>
      <c r="AQ32" s="5"/>
      <c r="AR32" s="7"/>
      <c r="AS32" s="7"/>
      <c r="AT32" s="7"/>
      <c r="AU32" s="7"/>
      <c r="AV32" s="7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</row>
    <row r="33" spans="1:115" ht="15" customHeight="1" x14ac:dyDescent="0.3">
      <c r="A33" s="65"/>
      <c r="B33" s="109"/>
      <c r="C33" s="110"/>
      <c r="D33" s="110"/>
      <c r="E33" s="111"/>
      <c r="F33" s="85"/>
      <c r="G33" s="86"/>
      <c r="H33" s="86"/>
      <c r="I33" s="86"/>
      <c r="J33" s="86"/>
      <c r="K33" s="86"/>
      <c r="L33" s="86"/>
      <c r="M33" s="86"/>
      <c r="N33" s="86"/>
      <c r="O33" s="86"/>
      <c r="P33" s="86"/>
      <c r="Q33" s="67">
        <f t="shared" si="0"/>
        <v>0</v>
      </c>
      <c r="R33" s="67">
        <f t="shared" si="1"/>
        <v>0</v>
      </c>
      <c r="S33" s="86"/>
      <c r="T33" s="86"/>
      <c r="U33" s="86"/>
      <c r="V33" s="86"/>
      <c r="W33" s="66">
        <f t="shared" si="2"/>
        <v>0</v>
      </c>
      <c r="X33" s="98"/>
      <c r="Y33" s="68">
        <f t="shared" si="3"/>
        <v>0</v>
      </c>
      <c r="Z33" s="68">
        <f t="shared" si="4"/>
        <v>0</v>
      </c>
      <c r="AA33" s="72"/>
      <c r="AB33" s="68">
        <f t="shared" si="7"/>
        <v>0</v>
      </c>
      <c r="AC33" s="68">
        <f t="shared" si="8"/>
        <v>0</v>
      </c>
      <c r="AD33" s="68"/>
      <c r="AE33" s="55"/>
      <c r="AF33" s="69">
        <f t="shared" si="5"/>
        <v>0</v>
      </c>
      <c r="AG33" s="86"/>
      <c r="AH33" s="108"/>
      <c r="AI33" s="108"/>
      <c r="AJ33" s="108"/>
      <c r="AK33" s="70">
        <f t="shared" si="6"/>
        <v>0</v>
      </c>
      <c r="AL33" s="71"/>
      <c r="AM33" s="48"/>
      <c r="AN33" s="5"/>
      <c r="AO33" s="5"/>
      <c r="AP33" s="5"/>
      <c r="AQ33" s="5"/>
      <c r="AR33" s="7"/>
      <c r="AS33" s="7"/>
      <c r="AT33" s="7"/>
      <c r="AU33" s="7"/>
      <c r="AV33" s="7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</row>
    <row r="34" spans="1:115" ht="15" customHeight="1" x14ac:dyDescent="0.3">
      <c r="A34" s="65"/>
      <c r="B34" s="109"/>
      <c r="C34" s="110"/>
      <c r="D34" s="110"/>
      <c r="E34" s="111"/>
      <c r="F34" s="85"/>
      <c r="G34" s="86"/>
      <c r="H34" s="86"/>
      <c r="I34" s="86"/>
      <c r="J34" s="86"/>
      <c r="K34" s="86"/>
      <c r="L34" s="86"/>
      <c r="M34" s="86"/>
      <c r="N34" s="86"/>
      <c r="O34" s="86"/>
      <c r="P34" s="86"/>
      <c r="Q34" s="67">
        <f t="shared" si="0"/>
        <v>0</v>
      </c>
      <c r="R34" s="67">
        <f t="shared" si="1"/>
        <v>0</v>
      </c>
      <c r="S34" s="86"/>
      <c r="T34" s="86"/>
      <c r="U34" s="86"/>
      <c r="V34" s="86"/>
      <c r="W34" s="66">
        <f t="shared" si="2"/>
        <v>0</v>
      </c>
      <c r="X34" s="98"/>
      <c r="Y34" s="68">
        <f t="shared" si="3"/>
        <v>0</v>
      </c>
      <c r="Z34" s="68">
        <f t="shared" si="4"/>
        <v>0</v>
      </c>
      <c r="AA34" s="72"/>
      <c r="AB34" s="68">
        <f t="shared" si="7"/>
        <v>0</v>
      </c>
      <c r="AC34" s="68">
        <f t="shared" si="8"/>
        <v>0</v>
      </c>
      <c r="AD34" s="68"/>
      <c r="AE34" s="55"/>
      <c r="AF34" s="69">
        <f t="shared" si="5"/>
        <v>0</v>
      </c>
      <c r="AG34" s="86"/>
      <c r="AH34" s="108"/>
      <c r="AI34" s="108"/>
      <c r="AJ34" s="108"/>
      <c r="AK34" s="70">
        <f t="shared" si="6"/>
        <v>0</v>
      </c>
      <c r="AL34" s="71"/>
      <c r="AM34" s="48"/>
      <c r="AN34" s="5"/>
      <c r="AO34" s="5"/>
      <c r="AP34" s="5"/>
      <c r="AQ34" s="5"/>
      <c r="AR34" s="7"/>
      <c r="AS34" s="7"/>
      <c r="AT34" s="7"/>
      <c r="AU34" s="7"/>
      <c r="AV34" s="7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</row>
    <row r="35" spans="1:115" ht="15" customHeight="1" x14ac:dyDescent="0.3">
      <c r="A35" s="65"/>
      <c r="B35" s="109"/>
      <c r="C35" s="110"/>
      <c r="D35" s="110"/>
      <c r="E35" s="111"/>
      <c r="F35" s="85"/>
      <c r="G35" s="86"/>
      <c r="H35" s="86"/>
      <c r="I35" s="86"/>
      <c r="J35" s="86"/>
      <c r="K35" s="86"/>
      <c r="L35" s="86"/>
      <c r="M35" s="86"/>
      <c r="N35" s="86"/>
      <c r="O35" s="86"/>
      <c r="P35" s="86"/>
      <c r="Q35" s="67">
        <f t="shared" si="0"/>
        <v>0</v>
      </c>
      <c r="R35" s="67">
        <f t="shared" si="1"/>
        <v>0</v>
      </c>
      <c r="S35" s="86"/>
      <c r="T35" s="86"/>
      <c r="U35" s="86"/>
      <c r="V35" s="86"/>
      <c r="W35" s="66">
        <f t="shared" si="2"/>
        <v>0</v>
      </c>
      <c r="X35" s="98"/>
      <c r="Y35" s="68">
        <f t="shared" si="3"/>
        <v>0</v>
      </c>
      <c r="Z35" s="68">
        <f t="shared" si="4"/>
        <v>0</v>
      </c>
      <c r="AA35" s="72"/>
      <c r="AB35" s="68">
        <f t="shared" si="7"/>
        <v>0</v>
      </c>
      <c r="AC35" s="68">
        <f t="shared" si="8"/>
        <v>0</v>
      </c>
      <c r="AD35" s="68"/>
      <c r="AE35" s="55"/>
      <c r="AF35" s="69">
        <f t="shared" si="5"/>
        <v>0</v>
      </c>
      <c r="AG35" s="86"/>
      <c r="AH35" s="108"/>
      <c r="AI35" s="108"/>
      <c r="AJ35" s="108"/>
      <c r="AK35" s="70">
        <f t="shared" si="6"/>
        <v>0</v>
      </c>
      <c r="AL35" s="71"/>
      <c r="AM35" s="48"/>
      <c r="AN35" s="5"/>
      <c r="AO35" s="5"/>
      <c r="AP35" s="5"/>
      <c r="AQ35" s="5"/>
      <c r="AR35" s="7"/>
      <c r="AS35" s="7"/>
      <c r="AT35" s="7"/>
      <c r="AU35" s="7"/>
      <c r="AV35" s="7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</row>
    <row r="36" spans="1:115" ht="15" customHeight="1" x14ac:dyDescent="0.3">
      <c r="A36" s="65"/>
      <c r="B36" s="109"/>
      <c r="C36" s="110"/>
      <c r="D36" s="110"/>
      <c r="E36" s="111"/>
      <c r="F36" s="85"/>
      <c r="G36" s="86"/>
      <c r="H36" s="86"/>
      <c r="I36" s="86"/>
      <c r="J36" s="86"/>
      <c r="K36" s="86"/>
      <c r="L36" s="86"/>
      <c r="M36" s="86"/>
      <c r="N36" s="86"/>
      <c r="O36" s="86"/>
      <c r="P36" s="86"/>
      <c r="Q36" s="67">
        <f t="shared" si="0"/>
        <v>0</v>
      </c>
      <c r="R36" s="67">
        <f t="shared" si="1"/>
        <v>0</v>
      </c>
      <c r="S36" s="86"/>
      <c r="T36" s="86"/>
      <c r="U36" s="86"/>
      <c r="V36" s="86"/>
      <c r="W36" s="66">
        <f t="shared" si="2"/>
        <v>0</v>
      </c>
      <c r="X36" s="98"/>
      <c r="Y36" s="68">
        <f t="shared" si="3"/>
        <v>0</v>
      </c>
      <c r="Z36" s="68">
        <f t="shared" si="4"/>
        <v>0</v>
      </c>
      <c r="AA36" s="72"/>
      <c r="AB36" s="68">
        <f t="shared" si="7"/>
        <v>0</v>
      </c>
      <c r="AC36" s="68">
        <f t="shared" si="8"/>
        <v>0</v>
      </c>
      <c r="AD36" s="68"/>
      <c r="AE36" s="55"/>
      <c r="AF36" s="69">
        <f t="shared" si="5"/>
        <v>0</v>
      </c>
      <c r="AG36" s="86"/>
      <c r="AH36" s="108"/>
      <c r="AI36" s="108"/>
      <c r="AJ36" s="108"/>
      <c r="AK36" s="70">
        <f t="shared" si="6"/>
        <v>0</v>
      </c>
      <c r="AL36" s="71"/>
      <c r="AM36" s="48"/>
      <c r="AN36" s="5"/>
      <c r="AO36" s="5"/>
      <c r="AP36" s="5"/>
      <c r="AQ36" s="5"/>
      <c r="AR36" s="7"/>
      <c r="AS36" s="7"/>
      <c r="AT36" s="7"/>
      <c r="AU36" s="7"/>
      <c r="AV36" s="7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</row>
    <row r="37" spans="1:115" ht="15" customHeight="1" x14ac:dyDescent="0.3">
      <c r="A37" s="65"/>
      <c r="B37" s="109"/>
      <c r="C37" s="110"/>
      <c r="D37" s="110"/>
      <c r="E37" s="111"/>
      <c r="F37" s="85"/>
      <c r="G37" s="86"/>
      <c r="H37" s="86"/>
      <c r="I37" s="86"/>
      <c r="J37" s="86"/>
      <c r="K37" s="86"/>
      <c r="L37" s="86"/>
      <c r="M37" s="86"/>
      <c r="N37" s="86"/>
      <c r="O37" s="86"/>
      <c r="P37" s="86"/>
      <c r="Q37" s="67">
        <f t="shared" si="0"/>
        <v>0</v>
      </c>
      <c r="R37" s="67">
        <f t="shared" si="1"/>
        <v>0</v>
      </c>
      <c r="S37" s="86"/>
      <c r="T37" s="86"/>
      <c r="U37" s="86"/>
      <c r="V37" s="86"/>
      <c r="W37" s="66">
        <f t="shared" si="2"/>
        <v>0</v>
      </c>
      <c r="X37" s="98"/>
      <c r="Y37" s="68">
        <f t="shared" si="3"/>
        <v>0</v>
      </c>
      <c r="Z37" s="68">
        <f t="shared" si="4"/>
        <v>0</v>
      </c>
      <c r="AA37" s="72"/>
      <c r="AB37" s="68">
        <f t="shared" si="7"/>
        <v>0</v>
      </c>
      <c r="AC37" s="68">
        <f t="shared" si="8"/>
        <v>0</v>
      </c>
      <c r="AD37" s="68"/>
      <c r="AE37" s="55"/>
      <c r="AF37" s="69">
        <f t="shared" si="5"/>
        <v>0</v>
      </c>
      <c r="AG37" s="86"/>
      <c r="AH37" s="108"/>
      <c r="AI37" s="108"/>
      <c r="AJ37" s="108"/>
      <c r="AK37" s="70">
        <f t="shared" si="6"/>
        <v>0</v>
      </c>
      <c r="AL37" s="71"/>
      <c r="AM37" s="48"/>
      <c r="AN37" s="5"/>
      <c r="AO37" s="5"/>
      <c r="AP37" s="5"/>
      <c r="AQ37" s="5"/>
      <c r="AR37" s="7"/>
      <c r="AS37" s="7"/>
      <c r="AT37" s="7"/>
      <c r="AU37" s="7"/>
      <c r="AV37" s="7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</row>
    <row r="38" spans="1:115" ht="15" customHeight="1" x14ac:dyDescent="0.3">
      <c r="A38" s="65"/>
      <c r="B38" s="109"/>
      <c r="C38" s="110"/>
      <c r="D38" s="110"/>
      <c r="E38" s="111"/>
      <c r="F38" s="85"/>
      <c r="G38" s="86"/>
      <c r="H38" s="86"/>
      <c r="I38" s="86"/>
      <c r="J38" s="86"/>
      <c r="K38" s="86"/>
      <c r="L38" s="86"/>
      <c r="M38" s="86"/>
      <c r="N38" s="86"/>
      <c r="O38" s="86"/>
      <c r="P38" s="86"/>
      <c r="Q38" s="67">
        <f t="shared" si="0"/>
        <v>0</v>
      </c>
      <c r="R38" s="67">
        <f t="shared" si="1"/>
        <v>0</v>
      </c>
      <c r="S38" s="86"/>
      <c r="T38" s="86"/>
      <c r="U38" s="86"/>
      <c r="V38" s="86"/>
      <c r="W38" s="66">
        <f t="shared" si="2"/>
        <v>0</v>
      </c>
      <c r="X38" s="98"/>
      <c r="Y38" s="68">
        <f t="shared" si="3"/>
        <v>0</v>
      </c>
      <c r="Z38" s="68">
        <f t="shared" si="4"/>
        <v>0</v>
      </c>
      <c r="AA38" s="72"/>
      <c r="AB38" s="68">
        <f t="shared" si="7"/>
        <v>0</v>
      </c>
      <c r="AC38" s="68">
        <f t="shared" si="8"/>
        <v>0</v>
      </c>
      <c r="AD38" s="68"/>
      <c r="AE38" s="55"/>
      <c r="AF38" s="69">
        <f t="shared" si="5"/>
        <v>0</v>
      </c>
      <c r="AG38" s="86"/>
      <c r="AH38" s="108"/>
      <c r="AI38" s="108"/>
      <c r="AJ38" s="108"/>
      <c r="AK38" s="70">
        <f t="shared" si="6"/>
        <v>0</v>
      </c>
      <c r="AL38" s="71"/>
      <c r="AM38" s="48"/>
      <c r="AN38" s="5"/>
      <c r="AO38" s="5"/>
      <c r="AP38" s="5"/>
      <c r="AQ38" s="5"/>
      <c r="AR38" s="7"/>
      <c r="AS38" s="7"/>
      <c r="AT38" s="7"/>
      <c r="AU38" s="7"/>
      <c r="AV38" s="7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</row>
    <row r="39" spans="1:115" ht="15" customHeight="1" x14ac:dyDescent="0.3">
      <c r="A39" s="65"/>
      <c r="B39" s="109"/>
      <c r="C39" s="110"/>
      <c r="D39" s="110"/>
      <c r="E39" s="111"/>
      <c r="F39" s="85"/>
      <c r="G39" s="86"/>
      <c r="H39" s="86"/>
      <c r="I39" s="86"/>
      <c r="J39" s="86"/>
      <c r="K39" s="86"/>
      <c r="L39" s="86"/>
      <c r="M39" s="86"/>
      <c r="N39" s="86"/>
      <c r="O39" s="86"/>
      <c r="P39" s="86"/>
      <c r="Q39" s="67">
        <f t="shared" si="0"/>
        <v>0</v>
      </c>
      <c r="R39" s="67">
        <f t="shared" si="1"/>
        <v>0</v>
      </c>
      <c r="S39" s="86"/>
      <c r="T39" s="86"/>
      <c r="U39" s="86"/>
      <c r="V39" s="86"/>
      <c r="W39" s="66">
        <f t="shared" si="2"/>
        <v>0</v>
      </c>
      <c r="X39" s="98"/>
      <c r="Y39" s="68">
        <f t="shared" si="3"/>
        <v>0</v>
      </c>
      <c r="Z39" s="68">
        <f t="shared" si="4"/>
        <v>0</v>
      </c>
      <c r="AA39" s="72"/>
      <c r="AB39" s="68">
        <f t="shared" si="7"/>
        <v>0</v>
      </c>
      <c r="AC39" s="68">
        <f t="shared" si="8"/>
        <v>0</v>
      </c>
      <c r="AD39" s="68"/>
      <c r="AE39" s="55"/>
      <c r="AF39" s="69">
        <f t="shared" si="5"/>
        <v>0</v>
      </c>
      <c r="AG39" s="86"/>
      <c r="AH39" s="108"/>
      <c r="AI39" s="108"/>
      <c r="AJ39" s="108"/>
      <c r="AK39" s="70">
        <f t="shared" si="6"/>
        <v>0</v>
      </c>
      <c r="AL39" s="71"/>
      <c r="AM39" s="48"/>
      <c r="AN39" s="5"/>
      <c r="AO39" s="5"/>
      <c r="AP39" s="5"/>
      <c r="AQ39" s="5"/>
      <c r="AR39" s="7"/>
      <c r="AS39" s="7"/>
      <c r="AT39" s="7"/>
      <c r="AU39" s="7"/>
      <c r="AV39" s="7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</row>
    <row r="40" spans="1:115" ht="15" customHeight="1" x14ac:dyDescent="0.3">
      <c r="A40" s="65"/>
      <c r="B40" s="109"/>
      <c r="C40" s="110"/>
      <c r="D40" s="110"/>
      <c r="E40" s="111"/>
      <c r="F40" s="85"/>
      <c r="G40" s="86"/>
      <c r="H40" s="86"/>
      <c r="I40" s="86"/>
      <c r="J40" s="86"/>
      <c r="K40" s="86"/>
      <c r="L40" s="86"/>
      <c r="M40" s="86"/>
      <c r="N40" s="86"/>
      <c r="O40" s="86"/>
      <c r="P40" s="86"/>
      <c r="Q40" s="67">
        <f t="shared" si="0"/>
        <v>0</v>
      </c>
      <c r="R40" s="67">
        <f t="shared" si="1"/>
        <v>0</v>
      </c>
      <c r="S40" s="86"/>
      <c r="T40" s="86"/>
      <c r="U40" s="86"/>
      <c r="V40" s="86"/>
      <c r="W40" s="66">
        <f t="shared" si="2"/>
        <v>0</v>
      </c>
      <c r="X40" s="98"/>
      <c r="Y40" s="68">
        <f t="shared" si="3"/>
        <v>0</v>
      </c>
      <c r="Z40" s="68">
        <f t="shared" si="4"/>
        <v>0</v>
      </c>
      <c r="AA40" s="72"/>
      <c r="AB40" s="68">
        <f t="shared" si="7"/>
        <v>0</v>
      </c>
      <c r="AC40" s="68">
        <f t="shared" si="8"/>
        <v>0</v>
      </c>
      <c r="AD40" s="68"/>
      <c r="AE40" s="55"/>
      <c r="AF40" s="69">
        <f t="shared" si="5"/>
        <v>0</v>
      </c>
      <c r="AG40" s="86"/>
      <c r="AH40" s="108"/>
      <c r="AI40" s="108"/>
      <c r="AJ40" s="108"/>
      <c r="AK40" s="70">
        <f t="shared" si="6"/>
        <v>0</v>
      </c>
      <c r="AL40" s="71"/>
      <c r="AM40" s="48"/>
      <c r="AN40" s="5"/>
      <c r="AO40" s="5"/>
      <c r="AP40" s="5"/>
      <c r="AQ40" s="5"/>
      <c r="AR40" s="7"/>
      <c r="AS40" s="7"/>
      <c r="AT40" s="7"/>
      <c r="AU40" s="7"/>
      <c r="AV40" s="7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</row>
    <row r="41" spans="1:115" ht="15" customHeight="1" x14ac:dyDescent="0.3">
      <c r="A41" s="65"/>
      <c r="B41" s="109"/>
      <c r="C41" s="110"/>
      <c r="D41" s="110"/>
      <c r="E41" s="111"/>
      <c r="F41" s="85"/>
      <c r="G41" s="86"/>
      <c r="H41" s="86"/>
      <c r="I41" s="86"/>
      <c r="J41" s="86"/>
      <c r="K41" s="86"/>
      <c r="L41" s="86"/>
      <c r="M41" s="86"/>
      <c r="N41" s="86"/>
      <c r="O41" s="86"/>
      <c r="P41" s="86"/>
      <c r="Q41" s="67">
        <f t="shared" si="0"/>
        <v>0</v>
      </c>
      <c r="R41" s="67">
        <f t="shared" si="1"/>
        <v>0</v>
      </c>
      <c r="S41" s="86"/>
      <c r="T41" s="86"/>
      <c r="U41" s="86"/>
      <c r="V41" s="86"/>
      <c r="W41" s="66">
        <f t="shared" si="2"/>
        <v>0</v>
      </c>
      <c r="X41" s="97"/>
      <c r="Y41" s="68">
        <f t="shared" si="3"/>
        <v>0</v>
      </c>
      <c r="Z41" s="68">
        <f t="shared" si="4"/>
        <v>0</v>
      </c>
      <c r="AA41" s="72"/>
      <c r="AB41" s="68">
        <f t="shared" si="7"/>
        <v>0</v>
      </c>
      <c r="AC41" s="68">
        <f t="shared" si="8"/>
        <v>0</v>
      </c>
      <c r="AD41" s="68"/>
      <c r="AE41" s="55"/>
      <c r="AF41" s="69">
        <f t="shared" si="5"/>
        <v>0</v>
      </c>
      <c r="AG41" s="86"/>
      <c r="AH41" s="108"/>
      <c r="AI41" s="108"/>
      <c r="AJ41" s="108"/>
      <c r="AK41" s="70">
        <f t="shared" si="6"/>
        <v>0</v>
      </c>
      <c r="AL41" s="71"/>
      <c r="AM41" s="48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</row>
    <row r="42" spans="1:115" ht="15" customHeight="1" x14ac:dyDescent="0.3">
      <c r="A42" s="65"/>
      <c r="B42" s="109"/>
      <c r="C42" s="110"/>
      <c r="D42" s="110"/>
      <c r="E42" s="111"/>
      <c r="F42" s="85"/>
      <c r="G42" s="86"/>
      <c r="H42" s="86"/>
      <c r="I42" s="86"/>
      <c r="J42" s="86"/>
      <c r="K42" s="86"/>
      <c r="L42" s="86"/>
      <c r="M42" s="86"/>
      <c r="N42" s="86"/>
      <c r="O42" s="86"/>
      <c r="P42" s="86"/>
      <c r="Q42" s="67">
        <f t="shared" si="0"/>
        <v>0</v>
      </c>
      <c r="R42" s="67">
        <f t="shared" si="1"/>
        <v>0</v>
      </c>
      <c r="S42" s="86"/>
      <c r="T42" s="86"/>
      <c r="U42" s="86"/>
      <c r="V42" s="86"/>
      <c r="W42" s="66">
        <f t="shared" si="2"/>
        <v>0</v>
      </c>
      <c r="X42" s="97"/>
      <c r="Y42" s="68">
        <f t="shared" si="3"/>
        <v>0</v>
      </c>
      <c r="Z42" s="68">
        <f t="shared" si="4"/>
        <v>0</v>
      </c>
      <c r="AA42" s="72"/>
      <c r="AB42" s="68">
        <f t="shared" si="7"/>
        <v>0</v>
      </c>
      <c r="AC42" s="68">
        <f t="shared" si="8"/>
        <v>0</v>
      </c>
      <c r="AD42" s="68"/>
      <c r="AE42" s="55"/>
      <c r="AF42" s="69">
        <f t="shared" si="5"/>
        <v>0</v>
      </c>
      <c r="AG42" s="86"/>
      <c r="AH42" s="108"/>
      <c r="AI42" s="108"/>
      <c r="AJ42" s="108"/>
      <c r="AK42" s="70">
        <f t="shared" si="6"/>
        <v>0</v>
      </c>
      <c r="AL42" s="71"/>
      <c r="AM42" s="48"/>
      <c r="AN42" s="5"/>
      <c r="AO42" s="5"/>
      <c r="AP42" s="5"/>
      <c r="AQ42" s="5"/>
      <c r="AR42" s="7"/>
      <c r="AS42" s="7"/>
      <c r="AT42" s="7"/>
      <c r="AU42" s="7"/>
      <c r="AV42" s="7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</row>
    <row r="43" spans="1:115" ht="15" customHeight="1" x14ac:dyDescent="0.3">
      <c r="A43" s="65"/>
      <c r="B43" s="109"/>
      <c r="C43" s="110"/>
      <c r="D43" s="110"/>
      <c r="E43" s="111"/>
      <c r="F43" s="85"/>
      <c r="G43" s="86"/>
      <c r="H43" s="86"/>
      <c r="I43" s="86"/>
      <c r="J43" s="86"/>
      <c r="K43" s="86"/>
      <c r="L43" s="86"/>
      <c r="M43" s="86"/>
      <c r="N43" s="86"/>
      <c r="O43" s="86"/>
      <c r="P43" s="86"/>
      <c r="Q43" s="67">
        <f t="shared" si="0"/>
        <v>0</v>
      </c>
      <c r="R43" s="67">
        <f t="shared" si="1"/>
        <v>0</v>
      </c>
      <c r="S43" s="86"/>
      <c r="T43" s="86"/>
      <c r="U43" s="86"/>
      <c r="V43" s="86"/>
      <c r="W43" s="66">
        <f t="shared" si="2"/>
        <v>0</v>
      </c>
      <c r="X43" s="101"/>
      <c r="Y43" s="68">
        <f t="shared" si="3"/>
        <v>0</v>
      </c>
      <c r="Z43" s="68">
        <f t="shared" si="4"/>
        <v>0</v>
      </c>
      <c r="AA43" s="72"/>
      <c r="AB43" s="68">
        <f t="shared" si="7"/>
        <v>0</v>
      </c>
      <c r="AC43" s="68">
        <f t="shared" si="8"/>
        <v>0</v>
      </c>
      <c r="AD43" s="68"/>
      <c r="AE43" s="55"/>
      <c r="AF43" s="69">
        <f t="shared" si="5"/>
        <v>0</v>
      </c>
      <c r="AG43" s="86"/>
      <c r="AH43" s="108"/>
      <c r="AI43" s="108"/>
      <c r="AJ43" s="108"/>
      <c r="AK43" s="70">
        <f t="shared" si="6"/>
        <v>0</v>
      </c>
      <c r="AL43" s="71"/>
      <c r="AM43" s="48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</row>
    <row r="44" spans="1:115" ht="15" customHeight="1" x14ac:dyDescent="0.3">
      <c r="A44" s="65"/>
      <c r="B44" s="109"/>
      <c r="C44" s="110"/>
      <c r="D44" s="110"/>
      <c r="E44" s="111"/>
      <c r="F44" s="85"/>
      <c r="G44" s="86"/>
      <c r="H44" s="86"/>
      <c r="I44" s="86"/>
      <c r="J44" s="86"/>
      <c r="K44" s="86"/>
      <c r="L44" s="86"/>
      <c r="M44" s="86"/>
      <c r="N44" s="86"/>
      <c r="O44" s="86"/>
      <c r="P44" s="86"/>
      <c r="Q44" s="67">
        <f t="shared" si="0"/>
        <v>0</v>
      </c>
      <c r="R44" s="67">
        <f t="shared" si="1"/>
        <v>0</v>
      </c>
      <c r="S44" s="86"/>
      <c r="T44" s="86"/>
      <c r="U44" s="86"/>
      <c r="V44" s="86"/>
      <c r="W44" s="66">
        <f t="shared" si="2"/>
        <v>0</v>
      </c>
      <c r="X44" s="96"/>
      <c r="Y44" s="68">
        <f t="shared" si="3"/>
        <v>0</v>
      </c>
      <c r="Z44" s="68">
        <f t="shared" si="4"/>
        <v>0</v>
      </c>
      <c r="AA44" s="72"/>
      <c r="AB44" s="68">
        <f t="shared" si="7"/>
        <v>0</v>
      </c>
      <c r="AC44" s="68">
        <f t="shared" si="8"/>
        <v>0</v>
      </c>
      <c r="AD44" s="68"/>
      <c r="AE44" s="55"/>
      <c r="AF44" s="69">
        <f t="shared" si="5"/>
        <v>0</v>
      </c>
      <c r="AG44" s="86"/>
      <c r="AH44" s="108"/>
      <c r="AI44" s="108"/>
      <c r="AJ44" s="108"/>
      <c r="AK44" s="70">
        <f t="shared" si="6"/>
        <v>0</v>
      </c>
      <c r="AL44" s="71"/>
      <c r="AM44" s="48"/>
      <c r="AN44" s="5"/>
      <c r="AO44" s="5"/>
      <c r="AP44" s="5"/>
      <c r="AQ44" s="5"/>
      <c r="AR44" s="7"/>
      <c r="AS44" s="7"/>
      <c r="AT44" s="7"/>
      <c r="AU44" s="7"/>
      <c r="AV44" s="7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</row>
    <row r="45" spans="1:115" ht="15" customHeight="1" x14ac:dyDescent="0.3">
      <c r="A45" s="65"/>
      <c r="B45" s="109"/>
      <c r="C45" s="110"/>
      <c r="D45" s="110"/>
      <c r="E45" s="111"/>
      <c r="F45" s="85"/>
      <c r="G45" s="86"/>
      <c r="H45" s="86"/>
      <c r="I45" s="86"/>
      <c r="J45" s="86"/>
      <c r="K45" s="86"/>
      <c r="L45" s="86"/>
      <c r="M45" s="86"/>
      <c r="N45" s="86"/>
      <c r="O45" s="86"/>
      <c r="P45" s="86"/>
      <c r="Q45" s="67">
        <f t="shared" si="0"/>
        <v>0</v>
      </c>
      <c r="R45" s="67">
        <f t="shared" si="1"/>
        <v>0</v>
      </c>
      <c r="S45" s="86"/>
      <c r="T45" s="86"/>
      <c r="U45" s="86"/>
      <c r="V45" s="86"/>
      <c r="W45" s="66">
        <f t="shared" si="2"/>
        <v>0</v>
      </c>
      <c r="X45" s="97"/>
      <c r="Y45" s="68">
        <f t="shared" si="3"/>
        <v>0</v>
      </c>
      <c r="Z45" s="68">
        <f t="shared" si="4"/>
        <v>0</v>
      </c>
      <c r="AA45" s="72"/>
      <c r="AB45" s="68">
        <f t="shared" si="7"/>
        <v>0</v>
      </c>
      <c r="AC45" s="68">
        <f t="shared" si="8"/>
        <v>0</v>
      </c>
      <c r="AD45" s="68"/>
      <c r="AE45" s="55"/>
      <c r="AF45" s="69">
        <f t="shared" si="5"/>
        <v>0</v>
      </c>
      <c r="AG45" s="86"/>
      <c r="AH45" s="108"/>
      <c r="AI45" s="108"/>
      <c r="AJ45" s="108"/>
      <c r="AK45" s="70">
        <f t="shared" si="6"/>
        <v>0</v>
      </c>
      <c r="AL45" s="71"/>
      <c r="AM45" s="48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</row>
    <row r="46" spans="1:115" ht="15" customHeight="1" x14ac:dyDescent="0.3">
      <c r="A46" s="65"/>
      <c r="B46" s="109"/>
      <c r="C46" s="110"/>
      <c r="D46" s="110"/>
      <c r="E46" s="111"/>
      <c r="F46" s="85"/>
      <c r="G46" s="86"/>
      <c r="H46" s="86"/>
      <c r="I46" s="86"/>
      <c r="J46" s="86"/>
      <c r="K46" s="86"/>
      <c r="L46" s="86"/>
      <c r="M46" s="86"/>
      <c r="N46" s="86"/>
      <c r="O46" s="86"/>
      <c r="P46" s="86"/>
      <c r="Q46" s="67">
        <f t="shared" si="0"/>
        <v>0</v>
      </c>
      <c r="R46" s="67">
        <f t="shared" si="1"/>
        <v>0</v>
      </c>
      <c r="S46" s="86"/>
      <c r="T46" s="86"/>
      <c r="U46" s="86"/>
      <c r="V46" s="86"/>
      <c r="W46" s="66">
        <f t="shared" si="2"/>
        <v>0</v>
      </c>
      <c r="X46" s="98"/>
      <c r="Y46" s="68">
        <f t="shared" si="3"/>
        <v>0</v>
      </c>
      <c r="Z46" s="68">
        <f t="shared" si="4"/>
        <v>0</v>
      </c>
      <c r="AA46" s="72"/>
      <c r="AB46" s="68">
        <f t="shared" si="7"/>
        <v>0</v>
      </c>
      <c r="AC46" s="68">
        <f t="shared" si="8"/>
        <v>0</v>
      </c>
      <c r="AD46" s="68"/>
      <c r="AE46" s="55"/>
      <c r="AF46" s="69">
        <f t="shared" si="5"/>
        <v>0</v>
      </c>
      <c r="AG46" s="86"/>
      <c r="AH46" s="108"/>
      <c r="AI46" s="108"/>
      <c r="AJ46" s="108"/>
      <c r="AK46" s="70">
        <f t="shared" si="6"/>
        <v>0</v>
      </c>
      <c r="AL46" s="71"/>
      <c r="AM46" s="48"/>
      <c r="AN46" s="5"/>
      <c r="AO46" s="5"/>
      <c r="AP46" s="5"/>
      <c r="AQ46" s="5"/>
      <c r="AR46" s="7"/>
      <c r="AS46" s="7"/>
      <c r="AT46" s="7"/>
      <c r="AU46" s="7"/>
      <c r="AV46" s="7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</row>
    <row r="47" spans="1:115" ht="15.75" customHeight="1" x14ac:dyDescent="0.3">
      <c r="A47" s="65"/>
      <c r="B47" s="109"/>
      <c r="C47" s="110"/>
      <c r="D47" s="110"/>
      <c r="E47" s="111"/>
      <c r="F47" s="85"/>
      <c r="G47" s="86"/>
      <c r="H47" s="86"/>
      <c r="I47" s="86"/>
      <c r="J47" s="86"/>
      <c r="K47" s="86"/>
      <c r="L47" s="86"/>
      <c r="M47" s="86"/>
      <c r="N47" s="86"/>
      <c r="O47" s="86"/>
      <c r="P47" s="86"/>
      <c r="Q47" s="67">
        <f t="shared" si="0"/>
        <v>0</v>
      </c>
      <c r="R47" s="67">
        <f t="shared" si="1"/>
        <v>0</v>
      </c>
      <c r="S47" s="86"/>
      <c r="T47" s="86"/>
      <c r="U47" s="86"/>
      <c r="V47" s="86"/>
      <c r="W47" s="66">
        <f t="shared" si="2"/>
        <v>0</v>
      </c>
      <c r="X47" s="97"/>
      <c r="Y47" s="68">
        <f t="shared" si="3"/>
        <v>0</v>
      </c>
      <c r="Z47" s="68">
        <f t="shared" si="4"/>
        <v>0</v>
      </c>
      <c r="AA47" s="72"/>
      <c r="AB47" s="68">
        <f t="shared" si="7"/>
        <v>0</v>
      </c>
      <c r="AC47" s="68">
        <f t="shared" si="8"/>
        <v>0</v>
      </c>
      <c r="AD47" s="68"/>
      <c r="AE47" s="55"/>
      <c r="AF47" s="69">
        <f t="shared" si="5"/>
        <v>0</v>
      </c>
      <c r="AG47" s="86"/>
      <c r="AH47" s="108"/>
      <c r="AI47" s="108"/>
      <c r="AJ47" s="108"/>
      <c r="AK47" s="70">
        <f t="shared" si="6"/>
        <v>0</v>
      </c>
      <c r="AL47" s="71"/>
      <c r="AM47" s="48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</row>
    <row r="48" spans="1:115" ht="15" customHeight="1" x14ac:dyDescent="0.3">
      <c r="A48" s="65"/>
      <c r="B48" s="109"/>
      <c r="C48" s="110"/>
      <c r="D48" s="110"/>
      <c r="E48" s="111"/>
      <c r="F48" s="88"/>
      <c r="G48" s="86"/>
      <c r="H48" s="86"/>
      <c r="I48" s="86"/>
      <c r="J48" s="86"/>
      <c r="K48" s="86"/>
      <c r="L48" s="86"/>
      <c r="M48" s="86"/>
      <c r="N48" s="86"/>
      <c r="O48" s="86"/>
      <c r="P48" s="86"/>
      <c r="Q48" s="67">
        <f t="shared" si="0"/>
        <v>0</v>
      </c>
      <c r="R48" s="67">
        <f t="shared" si="1"/>
        <v>0</v>
      </c>
      <c r="S48" s="86"/>
      <c r="T48" s="86"/>
      <c r="U48" s="86"/>
      <c r="V48" s="86"/>
      <c r="W48" s="66">
        <f t="shared" si="2"/>
        <v>0</v>
      </c>
      <c r="X48" s="97"/>
      <c r="Y48" s="68">
        <f t="shared" si="3"/>
        <v>0</v>
      </c>
      <c r="Z48" s="68">
        <f t="shared" si="4"/>
        <v>0</v>
      </c>
      <c r="AA48" s="72"/>
      <c r="AB48" s="68">
        <f t="shared" si="7"/>
        <v>0</v>
      </c>
      <c r="AC48" s="68">
        <f t="shared" si="8"/>
        <v>0</v>
      </c>
      <c r="AD48" s="68"/>
      <c r="AE48" s="55"/>
      <c r="AF48" s="69">
        <f t="shared" si="5"/>
        <v>0</v>
      </c>
      <c r="AG48" s="86"/>
      <c r="AH48" s="108"/>
      <c r="AI48" s="108"/>
      <c r="AJ48" s="108"/>
      <c r="AK48" s="70">
        <f t="shared" si="6"/>
        <v>0</v>
      </c>
      <c r="AL48" s="71"/>
      <c r="AM48" s="48"/>
      <c r="AN48" s="5"/>
      <c r="AO48" s="5"/>
      <c r="AP48" s="5"/>
      <c r="AQ48" s="5"/>
      <c r="AR48" s="7"/>
      <c r="AS48" s="7"/>
      <c r="AT48" s="7"/>
      <c r="AU48" s="7"/>
      <c r="AV48" s="7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</row>
    <row r="49" spans="1:115" ht="15" customHeight="1" x14ac:dyDescent="0.3">
      <c r="A49" s="65"/>
      <c r="B49" s="109"/>
      <c r="C49" s="110"/>
      <c r="D49" s="110"/>
      <c r="E49" s="111"/>
      <c r="F49" s="85"/>
      <c r="G49" s="86"/>
      <c r="H49" s="86"/>
      <c r="I49" s="86"/>
      <c r="J49" s="86"/>
      <c r="K49" s="86"/>
      <c r="L49" s="86"/>
      <c r="M49" s="86"/>
      <c r="N49" s="86"/>
      <c r="O49" s="86"/>
      <c r="P49" s="86"/>
      <c r="Q49" s="67">
        <f t="shared" si="0"/>
        <v>0</v>
      </c>
      <c r="R49" s="67">
        <f t="shared" si="1"/>
        <v>0</v>
      </c>
      <c r="S49" s="86"/>
      <c r="T49" s="86"/>
      <c r="U49" s="86"/>
      <c r="V49" s="86"/>
      <c r="W49" s="66">
        <f t="shared" si="2"/>
        <v>0</v>
      </c>
      <c r="X49" s="96"/>
      <c r="Y49" s="68">
        <f t="shared" si="3"/>
        <v>0</v>
      </c>
      <c r="Z49" s="68">
        <f t="shared" si="4"/>
        <v>0</v>
      </c>
      <c r="AA49" s="72"/>
      <c r="AB49" s="68">
        <f t="shared" si="7"/>
        <v>0</v>
      </c>
      <c r="AC49" s="68">
        <f t="shared" si="8"/>
        <v>0</v>
      </c>
      <c r="AD49" s="68"/>
      <c r="AE49" s="55"/>
      <c r="AF49" s="69">
        <f t="shared" si="5"/>
        <v>0</v>
      </c>
      <c r="AG49" s="86"/>
      <c r="AH49" s="108"/>
      <c r="AI49" s="108"/>
      <c r="AJ49" s="108"/>
      <c r="AK49" s="70">
        <f t="shared" si="6"/>
        <v>0</v>
      </c>
      <c r="AL49" s="71"/>
      <c r="AM49" s="48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</row>
    <row r="50" spans="1:115" s="42" customFormat="1" ht="15" customHeight="1" x14ac:dyDescent="0.3">
      <c r="A50" s="65"/>
      <c r="B50" s="109"/>
      <c r="C50" s="110"/>
      <c r="D50" s="110"/>
      <c r="E50" s="111"/>
      <c r="F50" s="85"/>
      <c r="G50" s="86"/>
      <c r="H50" s="86"/>
      <c r="I50" s="86"/>
      <c r="J50" s="86"/>
      <c r="K50" s="86"/>
      <c r="L50" s="86"/>
      <c r="M50" s="86"/>
      <c r="N50" s="86"/>
      <c r="O50" s="86"/>
      <c r="P50" s="86"/>
      <c r="Q50" s="67">
        <f t="shared" si="0"/>
        <v>0</v>
      </c>
      <c r="R50" s="67">
        <f t="shared" si="1"/>
        <v>0</v>
      </c>
      <c r="S50" s="86"/>
      <c r="T50" s="86"/>
      <c r="U50" s="86"/>
      <c r="V50" s="86"/>
      <c r="W50" s="66">
        <f t="shared" si="2"/>
        <v>0</v>
      </c>
      <c r="X50" s="101"/>
      <c r="Y50" s="68">
        <f t="shared" si="3"/>
        <v>0</v>
      </c>
      <c r="Z50" s="68">
        <f t="shared" si="4"/>
        <v>0</v>
      </c>
      <c r="AA50" s="72"/>
      <c r="AB50" s="68">
        <f t="shared" si="7"/>
        <v>0</v>
      </c>
      <c r="AC50" s="68">
        <f t="shared" si="8"/>
        <v>0</v>
      </c>
      <c r="AD50" s="68"/>
      <c r="AE50" s="55"/>
      <c r="AF50" s="69">
        <f t="shared" si="5"/>
        <v>0</v>
      </c>
      <c r="AG50" s="86"/>
      <c r="AH50" s="108"/>
      <c r="AI50" s="108"/>
      <c r="AJ50" s="108"/>
      <c r="AK50" s="70">
        <f t="shared" si="6"/>
        <v>0</v>
      </c>
      <c r="AL50" s="71"/>
      <c r="AM50" s="48"/>
      <c r="AN50" s="5"/>
      <c r="AO50" s="5"/>
      <c r="AP50" s="5"/>
      <c r="AQ50" s="5"/>
      <c r="AR50" s="7"/>
      <c r="AS50" s="7"/>
      <c r="AT50" s="7"/>
      <c r="AU50" s="7"/>
      <c r="AV50" s="7"/>
      <c r="AW50"/>
      <c r="AX50"/>
      <c r="AY50"/>
      <c r="AZ50"/>
      <c r="BA50"/>
      <c r="BB50"/>
      <c r="BC50"/>
      <c r="BD50"/>
      <c r="BE50"/>
      <c r="BF50"/>
      <c r="BG50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/>
      <c r="CG50"/>
      <c r="CH50"/>
      <c r="CI50"/>
      <c r="CJ50"/>
      <c r="CK50"/>
      <c r="CL50"/>
      <c r="CM50"/>
      <c r="CN50"/>
      <c r="CO50"/>
      <c r="CP50"/>
      <c r="CQ50"/>
      <c r="CR50"/>
      <c r="CS50"/>
      <c r="CT50"/>
      <c r="CU50"/>
      <c r="CV50"/>
      <c r="CW50"/>
      <c r="CX50"/>
      <c r="CY50"/>
      <c r="CZ50"/>
      <c r="DA50"/>
      <c r="DB50"/>
      <c r="DC50"/>
      <c r="DD50"/>
      <c r="DE50"/>
      <c r="DF50"/>
      <c r="DG50"/>
      <c r="DH50"/>
      <c r="DI50"/>
      <c r="DJ50"/>
      <c r="DK50"/>
    </row>
    <row r="51" spans="1:115" s="42" customFormat="1" ht="15.75" customHeight="1" x14ac:dyDescent="0.3">
      <c r="A51" s="65"/>
      <c r="B51" s="109"/>
      <c r="C51" s="110"/>
      <c r="D51" s="110"/>
      <c r="E51" s="111"/>
      <c r="F51" s="90"/>
      <c r="G51" s="86"/>
      <c r="H51" s="86"/>
      <c r="I51" s="86"/>
      <c r="J51" s="86"/>
      <c r="K51" s="86"/>
      <c r="L51" s="86"/>
      <c r="M51" s="86"/>
      <c r="N51" s="86"/>
      <c r="O51" s="86"/>
      <c r="P51" s="86"/>
      <c r="Q51" s="67">
        <f t="shared" si="0"/>
        <v>0</v>
      </c>
      <c r="R51" s="67">
        <f t="shared" si="1"/>
        <v>0</v>
      </c>
      <c r="S51" s="86"/>
      <c r="T51" s="86"/>
      <c r="U51" s="86"/>
      <c r="V51" s="86"/>
      <c r="W51" s="66">
        <f t="shared" si="2"/>
        <v>0</v>
      </c>
      <c r="X51" s="96"/>
      <c r="Y51" s="68">
        <f t="shared" si="3"/>
        <v>0</v>
      </c>
      <c r="Z51" s="68">
        <f t="shared" si="4"/>
        <v>0</v>
      </c>
      <c r="AA51" s="72"/>
      <c r="AB51" s="68">
        <f t="shared" si="7"/>
        <v>0</v>
      </c>
      <c r="AC51" s="68">
        <f t="shared" si="8"/>
        <v>0</v>
      </c>
      <c r="AD51" s="68"/>
      <c r="AE51" s="55"/>
      <c r="AF51" s="69">
        <f t="shared" si="5"/>
        <v>0</v>
      </c>
      <c r="AG51" s="86"/>
      <c r="AH51" s="108"/>
      <c r="AI51" s="108"/>
      <c r="AJ51" s="108"/>
      <c r="AK51" s="70">
        <f t="shared" si="6"/>
        <v>0</v>
      </c>
      <c r="AL51" s="71"/>
      <c r="AM51" s="48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</row>
    <row r="52" spans="1:115" ht="15" customHeight="1" x14ac:dyDescent="0.3">
      <c r="A52" s="65"/>
      <c r="B52" s="109"/>
      <c r="C52" s="110"/>
      <c r="D52" s="110"/>
      <c r="E52" s="111"/>
      <c r="F52" s="88"/>
      <c r="G52" s="86"/>
      <c r="H52" s="86"/>
      <c r="I52" s="86"/>
      <c r="J52" s="86"/>
      <c r="K52" s="86"/>
      <c r="L52" s="86"/>
      <c r="M52" s="86"/>
      <c r="N52" s="86"/>
      <c r="O52" s="86"/>
      <c r="P52" s="86"/>
      <c r="Q52" s="67">
        <f t="shared" si="0"/>
        <v>0</v>
      </c>
      <c r="R52" s="67">
        <f t="shared" si="1"/>
        <v>0</v>
      </c>
      <c r="S52" s="86"/>
      <c r="T52" s="86"/>
      <c r="U52" s="86"/>
      <c r="V52" s="86"/>
      <c r="W52" s="66">
        <f t="shared" si="2"/>
        <v>0</v>
      </c>
      <c r="X52" s="98"/>
      <c r="Y52" s="68">
        <f t="shared" si="3"/>
        <v>0</v>
      </c>
      <c r="Z52" s="68">
        <f t="shared" si="4"/>
        <v>0</v>
      </c>
      <c r="AA52" s="72"/>
      <c r="AB52" s="68">
        <f t="shared" si="7"/>
        <v>0</v>
      </c>
      <c r="AC52" s="68">
        <f t="shared" si="8"/>
        <v>0</v>
      </c>
      <c r="AD52" s="68"/>
      <c r="AE52" s="55"/>
      <c r="AF52" s="69">
        <f t="shared" si="5"/>
        <v>0</v>
      </c>
      <c r="AG52" s="86"/>
      <c r="AH52" s="108"/>
      <c r="AI52" s="108"/>
      <c r="AJ52" s="108"/>
      <c r="AK52" s="70">
        <f t="shared" si="6"/>
        <v>0</v>
      </c>
      <c r="AL52" s="71"/>
      <c r="AM52" s="48"/>
      <c r="AN52" s="5"/>
      <c r="AO52" s="5"/>
      <c r="AP52" s="5"/>
      <c r="AQ52" s="5"/>
      <c r="AR52" s="7"/>
      <c r="AS52" s="7"/>
      <c r="AT52" s="7"/>
      <c r="AU52" s="7"/>
      <c r="AV52" s="7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</row>
    <row r="53" spans="1:115" ht="15" customHeight="1" x14ac:dyDescent="0.3">
      <c r="A53" s="65"/>
      <c r="B53" s="109"/>
      <c r="C53" s="110"/>
      <c r="D53" s="110"/>
      <c r="E53" s="111"/>
      <c r="F53" s="90" t="s">
        <v>52</v>
      </c>
      <c r="G53" s="86"/>
      <c r="H53" s="86"/>
      <c r="I53" s="86"/>
      <c r="J53" s="86"/>
      <c r="K53" s="86"/>
      <c r="L53" s="86"/>
      <c r="M53" s="86"/>
      <c r="N53" s="86"/>
      <c r="O53" s="86"/>
      <c r="P53" s="86"/>
      <c r="Q53" s="67">
        <f t="shared" si="0"/>
        <v>0</v>
      </c>
      <c r="R53" s="67">
        <f t="shared" si="1"/>
        <v>0</v>
      </c>
      <c r="S53" s="86"/>
      <c r="T53" s="86"/>
      <c r="U53" s="86"/>
      <c r="V53" s="86"/>
      <c r="W53" s="66">
        <f t="shared" si="2"/>
        <v>0</v>
      </c>
      <c r="X53" s="98"/>
      <c r="Y53" s="68">
        <f t="shared" si="3"/>
        <v>0</v>
      </c>
      <c r="Z53" s="68">
        <f t="shared" si="4"/>
        <v>0</v>
      </c>
      <c r="AA53" s="72"/>
      <c r="AB53" s="68">
        <f t="shared" si="7"/>
        <v>0</v>
      </c>
      <c r="AC53" s="68">
        <f t="shared" si="8"/>
        <v>0</v>
      </c>
      <c r="AD53" s="68"/>
      <c r="AE53" s="55"/>
      <c r="AF53" s="69">
        <f t="shared" si="5"/>
        <v>0</v>
      </c>
      <c r="AG53" s="86"/>
      <c r="AH53" s="108"/>
      <c r="AI53" s="108"/>
      <c r="AJ53" s="108"/>
      <c r="AK53" s="70">
        <f t="shared" si="6"/>
        <v>0</v>
      </c>
      <c r="AL53" s="71"/>
      <c r="AM53" s="48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</row>
    <row r="54" spans="1:115" ht="15" customHeight="1" x14ac:dyDescent="0.3">
      <c r="A54" s="65"/>
      <c r="B54" s="109"/>
      <c r="C54" s="110"/>
      <c r="D54" s="110"/>
      <c r="E54" s="111"/>
      <c r="F54" s="85"/>
      <c r="G54" s="86"/>
      <c r="H54" s="86"/>
      <c r="I54" s="86"/>
      <c r="J54" s="86"/>
      <c r="K54" s="86"/>
      <c r="L54" s="86"/>
      <c r="M54" s="86"/>
      <c r="N54" s="86"/>
      <c r="O54" s="86"/>
      <c r="P54" s="86"/>
      <c r="Q54" s="67">
        <f t="shared" si="0"/>
        <v>0</v>
      </c>
      <c r="R54" s="67">
        <f t="shared" si="1"/>
        <v>0</v>
      </c>
      <c r="S54" s="86"/>
      <c r="T54" s="86"/>
      <c r="U54" s="86"/>
      <c r="V54" s="86"/>
      <c r="W54" s="66">
        <f t="shared" si="2"/>
        <v>0</v>
      </c>
      <c r="X54" s="98"/>
      <c r="Y54" s="68">
        <f t="shared" si="3"/>
        <v>0</v>
      </c>
      <c r="Z54" s="68">
        <f t="shared" si="4"/>
        <v>0</v>
      </c>
      <c r="AA54" s="72"/>
      <c r="AB54" s="68">
        <f t="shared" si="7"/>
        <v>0</v>
      </c>
      <c r="AC54" s="68">
        <f t="shared" si="8"/>
        <v>0</v>
      </c>
      <c r="AD54" s="68"/>
      <c r="AE54" s="55"/>
      <c r="AF54" s="69">
        <f t="shared" si="5"/>
        <v>0</v>
      </c>
      <c r="AG54" s="86"/>
      <c r="AH54" s="108"/>
      <c r="AI54" s="108"/>
      <c r="AJ54" s="108"/>
      <c r="AK54" s="70">
        <f t="shared" si="6"/>
        <v>0</v>
      </c>
      <c r="AL54" s="71"/>
      <c r="AM54" s="48"/>
      <c r="AN54" s="5"/>
      <c r="AO54" s="5"/>
      <c r="AP54" s="5"/>
      <c r="AQ54" s="5"/>
      <c r="AR54" s="7"/>
      <c r="AS54" s="7"/>
      <c r="AT54" s="7"/>
      <c r="AU54" s="7"/>
      <c r="AV54" s="7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</row>
    <row r="55" spans="1:115" ht="15" customHeight="1" x14ac:dyDescent="0.3">
      <c r="A55" s="65"/>
      <c r="B55" s="109"/>
      <c r="C55" s="110"/>
      <c r="D55" s="110"/>
      <c r="E55" s="111"/>
      <c r="F55" s="85"/>
      <c r="G55" s="86"/>
      <c r="H55" s="86"/>
      <c r="I55" s="86"/>
      <c r="J55" s="86"/>
      <c r="K55" s="86"/>
      <c r="L55" s="86"/>
      <c r="M55" s="86"/>
      <c r="N55" s="86"/>
      <c r="O55" s="86"/>
      <c r="P55" s="86"/>
      <c r="Q55" s="67">
        <f t="shared" si="0"/>
        <v>0</v>
      </c>
      <c r="R55" s="67">
        <f t="shared" si="1"/>
        <v>0</v>
      </c>
      <c r="S55" s="86"/>
      <c r="T55" s="86"/>
      <c r="U55" s="86"/>
      <c r="V55" s="86"/>
      <c r="W55" s="66">
        <f t="shared" si="2"/>
        <v>0</v>
      </c>
      <c r="X55" s="98"/>
      <c r="Y55" s="68">
        <f t="shared" si="3"/>
        <v>0</v>
      </c>
      <c r="Z55" s="68">
        <f t="shared" si="4"/>
        <v>0</v>
      </c>
      <c r="AA55" s="72"/>
      <c r="AB55" s="68">
        <f t="shared" si="7"/>
        <v>0</v>
      </c>
      <c r="AC55" s="68">
        <f t="shared" si="8"/>
        <v>0</v>
      </c>
      <c r="AD55" s="68"/>
      <c r="AE55" s="55"/>
      <c r="AF55" s="69">
        <f t="shared" si="5"/>
        <v>0</v>
      </c>
      <c r="AG55" s="86"/>
      <c r="AH55" s="108"/>
      <c r="AI55" s="108"/>
      <c r="AJ55" s="108"/>
      <c r="AK55" s="70">
        <f t="shared" si="6"/>
        <v>0</v>
      </c>
      <c r="AL55" s="71"/>
      <c r="AM55" s="48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</row>
    <row r="56" spans="1:115" ht="15" customHeight="1" x14ac:dyDescent="0.3">
      <c r="A56" s="65"/>
      <c r="B56" s="109"/>
      <c r="C56" s="110"/>
      <c r="D56" s="110"/>
      <c r="E56" s="111"/>
      <c r="F56" s="91"/>
      <c r="G56" s="86"/>
      <c r="H56" s="86"/>
      <c r="I56" s="86"/>
      <c r="J56" s="86"/>
      <c r="K56" s="86"/>
      <c r="L56" s="86"/>
      <c r="M56" s="86"/>
      <c r="N56" s="86"/>
      <c r="O56" s="86"/>
      <c r="P56" s="86"/>
      <c r="Q56" s="67">
        <f t="shared" si="0"/>
        <v>0</v>
      </c>
      <c r="R56" s="67">
        <f t="shared" si="1"/>
        <v>0</v>
      </c>
      <c r="S56" s="86"/>
      <c r="T56" s="86"/>
      <c r="U56" s="86"/>
      <c r="V56" s="86"/>
      <c r="W56" s="66">
        <f t="shared" si="2"/>
        <v>0</v>
      </c>
      <c r="X56" s="98"/>
      <c r="Y56" s="68">
        <f t="shared" si="3"/>
        <v>0</v>
      </c>
      <c r="Z56" s="68">
        <f t="shared" si="4"/>
        <v>0</v>
      </c>
      <c r="AA56" s="72"/>
      <c r="AB56" s="68">
        <f t="shared" si="7"/>
        <v>0</v>
      </c>
      <c r="AC56" s="68">
        <f t="shared" si="8"/>
        <v>0</v>
      </c>
      <c r="AD56" s="68"/>
      <c r="AE56" s="55"/>
      <c r="AF56" s="69">
        <f t="shared" si="5"/>
        <v>0</v>
      </c>
      <c r="AG56" s="86"/>
      <c r="AH56" s="108"/>
      <c r="AI56" s="108"/>
      <c r="AJ56" s="108"/>
      <c r="AK56" s="70">
        <f t="shared" si="6"/>
        <v>0</v>
      </c>
      <c r="AL56" s="71"/>
      <c r="AM56" s="48"/>
      <c r="AN56" s="5"/>
      <c r="AO56" s="5"/>
      <c r="AP56" s="5"/>
      <c r="AQ56" s="5"/>
      <c r="AR56" s="7"/>
      <c r="AS56" s="7"/>
      <c r="AT56" s="7"/>
      <c r="AU56" s="7"/>
      <c r="AV56" s="7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</row>
    <row r="57" spans="1:115" ht="15" customHeight="1" x14ac:dyDescent="0.3">
      <c r="A57" s="65"/>
      <c r="B57" s="109"/>
      <c r="C57" s="110"/>
      <c r="D57" s="110"/>
      <c r="E57" s="111"/>
      <c r="F57" s="92"/>
      <c r="G57" s="86"/>
      <c r="H57" s="86"/>
      <c r="I57" s="86"/>
      <c r="J57" s="86"/>
      <c r="K57" s="86"/>
      <c r="L57" s="86"/>
      <c r="M57" s="86"/>
      <c r="N57" s="86"/>
      <c r="O57" s="86"/>
      <c r="P57" s="86"/>
      <c r="Q57" s="67">
        <f t="shared" si="0"/>
        <v>0</v>
      </c>
      <c r="R57" s="67">
        <f t="shared" si="1"/>
        <v>0</v>
      </c>
      <c r="S57" s="86"/>
      <c r="T57" s="86"/>
      <c r="U57" s="86"/>
      <c r="V57" s="86"/>
      <c r="W57" s="66">
        <f t="shared" si="2"/>
        <v>0</v>
      </c>
      <c r="X57" s="98"/>
      <c r="Y57" s="68">
        <f t="shared" si="3"/>
        <v>0</v>
      </c>
      <c r="Z57" s="68">
        <f t="shared" si="4"/>
        <v>0</v>
      </c>
      <c r="AA57" s="72"/>
      <c r="AB57" s="68">
        <f t="shared" si="7"/>
        <v>0</v>
      </c>
      <c r="AC57" s="68">
        <f t="shared" si="8"/>
        <v>0</v>
      </c>
      <c r="AD57" s="68"/>
      <c r="AE57" s="55"/>
      <c r="AF57" s="69">
        <f t="shared" si="5"/>
        <v>0</v>
      </c>
      <c r="AG57" s="86"/>
      <c r="AH57" s="108"/>
      <c r="AI57" s="108"/>
      <c r="AJ57" s="108"/>
      <c r="AK57" s="70">
        <f t="shared" si="6"/>
        <v>0</v>
      </c>
      <c r="AL57" s="71"/>
      <c r="AM57" s="48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</row>
    <row r="58" spans="1:115" s="42" customFormat="1" ht="15" customHeight="1" x14ac:dyDescent="0.3">
      <c r="A58" s="65"/>
      <c r="B58" s="109"/>
      <c r="C58" s="110"/>
      <c r="D58" s="110"/>
      <c r="E58" s="111"/>
      <c r="F58" s="93"/>
      <c r="G58" s="86"/>
      <c r="H58" s="86"/>
      <c r="I58" s="86"/>
      <c r="J58" s="86"/>
      <c r="K58" s="86"/>
      <c r="L58" s="86"/>
      <c r="M58" s="86"/>
      <c r="N58" s="86"/>
      <c r="O58" s="86"/>
      <c r="P58" s="86"/>
      <c r="Q58" s="67">
        <f t="shared" si="0"/>
        <v>0</v>
      </c>
      <c r="R58" s="67">
        <f t="shared" si="1"/>
        <v>0</v>
      </c>
      <c r="S58" s="86"/>
      <c r="T58" s="86"/>
      <c r="U58" s="86"/>
      <c r="V58" s="86"/>
      <c r="W58" s="66">
        <f t="shared" si="2"/>
        <v>0</v>
      </c>
      <c r="X58" s="98"/>
      <c r="Y58" s="68">
        <f t="shared" si="3"/>
        <v>0</v>
      </c>
      <c r="Z58" s="68">
        <f t="shared" si="4"/>
        <v>0</v>
      </c>
      <c r="AA58" s="72"/>
      <c r="AB58" s="68">
        <f t="shared" si="7"/>
        <v>0</v>
      </c>
      <c r="AC58" s="68">
        <f t="shared" si="8"/>
        <v>0</v>
      </c>
      <c r="AD58" s="68"/>
      <c r="AE58" s="55"/>
      <c r="AF58" s="69">
        <f t="shared" si="5"/>
        <v>0</v>
      </c>
      <c r="AG58" s="86"/>
      <c r="AH58" s="108"/>
      <c r="AI58" s="108"/>
      <c r="AJ58" s="108"/>
      <c r="AK58" s="70">
        <f t="shared" si="6"/>
        <v>0</v>
      </c>
      <c r="AL58" s="71"/>
      <c r="AM58" s="48"/>
      <c r="AN58" s="5"/>
      <c r="AO58" s="5"/>
      <c r="AP58" s="5"/>
      <c r="AQ58" s="5"/>
      <c r="AR58" s="7"/>
      <c r="AS58" s="7"/>
      <c r="AT58" s="7"/>
      <c r="AU58" s="7"/>
      <c r="AV58" s="7"/>
      <c r="AW58"/>
      <c r="AX58"/>
      <c r="AY58"/>
      <c r="AZ58"/>
      <c r="BA58"/>
      <c r="BB58"/>
      <c r="BC58"/>
      <c r="BD58"/>
      <c r="BE58"/>
      <c r="BF58"/>
      <c r="BG58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/>
      <c r="CG58"/>
      <c r="CH58"/>
      <c r="CI58"/>
      <c r="CJ58"/>
      <c r="CK58"/>
      <c r="CL58"/>
      <c r="CM58"/>
      <c r="CN58"/>
      <c r="CO58"/>
      <c r="CP58"/>
      <c r="CQ58"/>
      <c r="CR58"/>
      <c r="CS58"/>
      <c r="CT58"/>
      <c r="CU58"/>
      <c r="CV58"/>
      <c r="CW58"/>
      <c r="CX58"/>
      <c r="CY58"/>
      <c r="CZ58"/>
      <c r="DA58"/>
      <c r="DB58"/>
      <c r="DC58"/>
      <c r="DD58"/>
      <c r="DE58"/>
      <c r="DF58"/>
      <c r="DG58"/>
      <c r="DH58"/>
      <c r="DI58"/>
      <c r="DJ58"/>
      <c r="DK58"/>
    </row>
    <row r="59" spans="1:115" s="42" customFormat="1" ht="15" customHeight="1" x14ac:dyDescent="0.3">
      <c r="A59" s="65"/>
      <c r="B59" s="109"/>
      <c r="C59" s="110"/>
      <c r="D59" s="110"/>
      <c r="E59" s="111"/>
      <c r="F59" s="85"/>
      <c r="G59" s="86"/>
      <c r="H59" s="86"/>
      <c r="I59" s="86"/>
      <c r="J59" s="86"/>
      <c r="K59" s="86"/>
      <c r="L59" s="86"/>
      <c r="M59" s="86"/>
      <c r="N59" s="86"/>
      <c r="O59" s="86"/>
      <c r="P59" s="86"/>
      <c r="Q59" s="67">
        <f t="shared" si="0"/>
        <v>0</v>
      </c>
      <c r="R59" s="67">
        <f t="shared" si="1"/>
        <v>0</v>
      </c>
      <c r="S59" s="86"/>
      <c r="T59" s="86"/>
      <c r="U59" s="86"/>
      <c r="V59" s="86"/>
      <c r="W59" s="66">
        <f t="shared" si="2"/>
        <v>0</v>
      </c>
      <c r="X59" s="98"/>
      <c r="Y59" s="68">
        <f t="shared" si="3"/>
        <v>0</v>
      </c>
      <c r="Z59" s="68">
        <f t="shared" si="4"/>
        <v>0</v>
      </c>
      <c r="AA59" s="72"/>
      <c r="AB59" s="68">
        <f t="shared" si="7"/>
        <v>0</v>
      </c>
      <c r="AC59" s="68">
        <f t="shared" si="8"/>
        <v>0</v>
      </c>
      <c r="AD59" s="68"/>
      <c r="AE59" s="55"/>
      <c r="AF59" s="69">
        <f t="shared" si="5"/>
        <v>0</v>
      </c>
      <c r="AG59" s="86"/>
      <c r="AH59" s="108"/>
      <c r="AI59" s="108"/>
      <c r="AJ59" s="108"/>
      <c r="AK59" s="70">
        <f t="shared" si="6"/>
        <v>0</v>
      </c>
      <c r="AL59" s="71"/>
      <c r="AM59" s="48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</row>
    <row r="60" spans="1:115" ht="15" customHeight="1" x14ac:dyDescent="0.3">
      <c r="A60" s="65"/>
      <c r="B60" s="109"/>
      <c r="C60" s="110"/>
      <c r="D60" s="110"/>
      <c r="E60" s="111"/>
      <c r="F60" s="85"/>
      <c r="G60" s="86"/>
      <c r="H60" s="86"/>
      <c r="I60" s="86"/>
      <c r="J60" s="86"/>
      <c r="K60" s="86"/>
      <c r="L60" s="86"/>
      <c r="M60" s="86"/>
      <c r="N60" s="86"/>
      <c r="O60" s="86"/>
      <c r="P60" s="86"/>
      <c r="Q60" s="67">
        <f t="shared" si="0"/>
        <v>0</v>
      </c>
      <c r="R60" s="67">
        <f t="shared" si="1"/>
        <v>0</v>
      </c>
      <c r="S60" s="86"/>
      <c r="T60" s="86"/>
      <c r="U60" s="86"/>
      <c r="V60" s="86"/>
      <c r="W60" s="66">
        <f t="shared" si="2"/>
        <v>0</v>
      </c>
      <c r="X60" s="98"/>
      <c r="Y60" s="68">
        <f t="shared" si="3"/>
        <v>0</v>
      </c>
      <c r="Z60" s="68">
        <f t="shared" si="4"/>
        <v>0</v>
      </c>
      <c r="AA60" s="72"/>
      <c r="AB60" s="68">
        <f t="shared" si="7"/>
        <v>0</v>
      </c>
      <c r="AC60" s="68">
        <f t="shared" si="8"/>
        <v>0</v>
      </c>
      <c r="AD60" s="68"/>
      <c r="AE60" s="55"/>
      <c r="AF60" s="69">
        <f t="shared" si="5"/>
        <v>0</v>
      </c>
      <c r="AG60" s="86"/>
      <c r="AH60" s="108"/>
      <c r="AI60" s="108"/>
      <c r="AJ60" s="108"/>
      <c r="AK60" s="70">
        <f t="shared" si="6"/>
        <v>0</v>
      </c>
      <c r="AL60" s="71"/>
      <c r="AM60" s="48"/>
      <c r="AN60" s="5"/>
      <c r="AO60" s="5"/>
      <c r="AP60" s="5"/>
      <c r="AQ60" s="5"/>
      <c r="AR60" s="7"/>
      <c r="AS60" s="7"/>
      <c r="AT60" s="7"/>
      <c r="AU60" s="7"/>
      <c r="AV60" s="7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</row>
    <row r="61" spans="1:115" ht="15.75" customHeight="1" x14ac:dyDescent="0.3">
      <c r="A61" s="65"/>
      <c r="B61" s="109"/>
      <c r="C61" s="110"/>
      <c r="D61" s="110"/>
      <c r="E61" s="111"/>
      <c r="F61" s="85"/>
      <c r="G61" s="86"/>
      <c r="H61" s="86"/>
      <c r="I61" s="86"/>
      <c r="J61" s="86"/>
      <c r="K61" s="86"/>
      <c r="L61" s="86"/>
      <c r="M61" s="86"/>
      <c r="N61" s="86"/>
      <c r="O61" s="86"/>
      <c r="P61" s="87"/>
      <c r="Q61" s="72">
        <f>P61*0.02</f>
        <v>0</v>
      </c>
      <c r="R61" s="72">
        <f>P61+Q61</f>
        <v>0</v>
      </c>
      <c r="S61" s="86"/>
      <c r="T61" s="86"/>
      <c r="U61" s="86"/>
      <c r="V61" s="86"/>
      <c r="W61" s="73">
        <f>G61+I61+K61+M61+O61+R61+S61+T61+U61+V61</f>
        <v>0</v>
      </c>
      <c r="X61" s="102"/>
      <c r="Y61" s="68">
        <f>X61*0.02</f>
        <v>0</v>
      </c>
      <c r="Z61" s="68">
        <f>X61+Y61</f>
        <v>0</v>
      </c>
      <c r="AA61" s="72"/>
      <c r="AB61" s="68">
        <f t="shared" si="7"/>
        <v>0</v>
      </c>
      <c r="AC61" s="68">
        <f t="shared" si="8"/>
        <v>0</v>
      </c>
      <c r="AD61" s="68"/>
      <c r="AE61" s="55"/>
      <c r="AF61" s="69">
        <f t="shared" si="5"/>
        <v>0</v>
      </c>
      <c r="AG61" s="86"/>
      <c r="AH61" s="108"/>
      <c r="AI61" s="108"/>
      <c r="AJ61" s="108"/>
      <c r="AK61" s="70">
        <f t="shared" si="6"/>
        <v>0</v>
      </c>
      <c r="AL61" s="71"/>
      <c r="AM61" s="48"/>
      <c r="AN61" s="5"/>
      <c r="AO61" s="5"/>
      <c r="AP61" s="5"/>
      <c r="AQ61" s="5"/>
      <c r="AR61" s="7"/>
      <c r="AS61" s="7"/>
      <c r="AT61" s="7"/>
      <c r="AU61" s="7"/>
      <c r="AV61" s="7"/>
      <c r="CE61" s="1"/>
    </row>
    <row r="62" spans="1:115" ht="15" customHeight="1" x14ac:dyDescent="0.3">
      <c r="A62" s="65"/>
      <c r="B62" s="109"/>
      <c r="C62" s="110"/>
      <c r="D62" s="110"/>
      <c r="E62" s="111"/>
      <c r="F62" s="85"/>
      <c r="G62" s="86"/>
      <c r="H62" s="86"/>
      <c r="I62" s="86"/>
      <c r="J62" s="86"/>
      <c r="K62" s="86"/>
      <c r="L62" s="86"/>
      <c r="M62" s="86"/>
      <c r="N62" s="86"/>
      <c r="O62" s="86"/>
      <c r="P62" s="86"/>
      <c r="Q62" s="67">
        <f t="shared" si="0"/>
        <v>0</v>
      </c>
      <c r="R62" s="67">
        <f t="shared" si="1"/>
        <v>0</v>
      </c>
      <c r="S62" s="86"/>
      <c r="T62" s="86"/>
      <c r="U62" s="86"/>
      <c r="V62" s="86"/>
      <c r="W62" s="66">
        <f t="shared" si="2"/>
        <v>0</v>
      </c>
      <c r="X62" s="98"/>
      <c r="Y62" s="68">
        <f t="shared" si="3"/>
        <v>0</v>
      </c>
      <c r="Z62" s="68">
        <f t="shared" si="4"/>
        <v>0</v>
      </c>
      <c r="AA62" s="72"/>
      <c r="AB62" s="68">
        <f t="shared" si="7"/>
        <v>0</v>
      </c>
      <c r="AC62" s="68">
        <f t="shared" si="8"/>
        <v>0</v>
      </c>
      <c r="AD62" s="68"/>
      <c r="AE62" s="55"/>
      <c r="AF62" s="69">
        <f t="shared" si="5"/>
        <v>0</v>
      </c>
      <c r="AG62" s="86"/>
      <c r="AH62" s="108"/>
      <c r="AI62" s="108"/>
      <c r="AJ62" s="108"/>
      <c r="AK62" s="70">
        <f t="shared" si="6"/>
        <v>0</v>
      </c>
      <c r="AL62" s="71"/>
      <c r="AM62" s="48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</row>
    <row r="63" spans="1:115" ht="15" customHeight="1" x14ac:dyDescent="0.3">
      <c r="A63" s="65"/>
      <c r="B63" s="109"/>
      <c r="C63" s="110"/>
      <c r="D63" s="110"/>
      <c r="E63" s="111"/>
      <c r="F63" s="85"/>
      <c r="G63" s="86"/>
      <c r="H63" s="86"/>
      <c r="I63" s="86"/>
      <c r="J63" s="86"/>
      <c r="K63" s="86"/>
      <c r="L63" s="86"/>
      <c r="M63" s="86"/>
      <c r="N63" s="86"/>
      <c r="O63" s="86"/>
      <c r="P63" s="86"/>
      <c r="Q63" s="67">
        <f t="shared" si="0"/>
        <v>0</v>
      </c>
      <c r="R63" s="67">
        <f t="shared" si="1"/>
        <v>0</v>
      </c>
      <c r="S63" s="86"/>
      <c r="T63" s="86"/>
      <c r="U63" s="86"/>
      <c r="V63" s="86"/>
      <c r="W63" s="66">
        <f t="shared" si="2"/>
        <v>0</v>
      </c>
      <c r="X63" s="98"/>
      <c r="Y63" s="68">
        <f t="shared" si="3"/>
        <v>0</v>
      </c>
      <c r="Z63" s="68">
        <f t="shared" si="4"/>
        <v>0</v>
      </c>
      <c r="AA63" s="72"/>
      <c r="AB63" s="68">
        <f t="shared" si="7"/>
        <v>0</v>
      </c>
      <c r="AC63" s="68">
        <f t="shared" si="8"/>
        <v>0</v>
      </c>
      <c r="AD63" s="68"/>
      <c r="AE63" s="55"/>
      <c r="AF63" s="69">
        <f t="shared" si="5"/>
        <v>0</v>
      </c>
      <c r="AG63" s="86"/>
      <c r="AH63" s="108"/>
      <c r="AI63" s="108"/>
      <c r="AJ63" s="108"/>
      <c r="AK63" s="70">
        <f t="shared" si="6"/>
        <v>0</v>
      </c>
      <c r="AL63" s="71"/>
      <c r="AM63" s="48"/>
      <c r="AN63" s="5"/>
      <c r="AO63" s="5"/>
      <c r="AP63" s="5"/>
      <c r="AQ63" s="5"/>
      <c r="AR63" s="7"/>
      <c r="AS63" s="7"/>
      <c r="AT63" s="7"/>
      <c r="AU63" s="7"/>
      <c r="AV63" s="7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</row>
    <row r="64" spans="1:115" ht="15" customHeight="1" x14ac:dyDescent="0.3">
      <c r="A64" s="65"/>
      <c r="B64" s="109"/>
      <c r="C64" s="110"/>
      <c r="D64" s="110"/>
      <c r="E64" s="111"/>
      <c r="F64" s="94"/>
      <c r="G64" s="86"/>
      <c r="H64" s="86"/>
      <c r="I64" s="86"/>
      <c r="J64" s="86"/>
      <c r="K64" s="86"/>
      <c r="L64" s="86"/>
      <c r="M64" s="86"/>
      <c r="N64" s="86"/>
      <c r="O64" s="86"/>
      <c r="P64" s="86"/>
      <c r="Q64" s="67">
        <f t="shared" si="0"/>
        <v>0</v>
      </c>
      <c r="R64" s="67">
        <f t="shared" si="1"/>
        <v>0</v>
      </c>
      <c r="S64" s="86"/>
      <c r="T64" s="86"/>
      <c r="U64" s="86"/>
      <c r="V64" s="86"/>
      <c r="W64" s="66">
        <f t="shared" si="2"/>
        <v>0</v>
      </c>
      <c r="X64" s="98"/>
      <c r="Y64" s="68">
        <f t="shared" si="3"/>
        <v>0</v>
      </c>
      <c r="Z64" s="68">
        <f t="shared" si="4"/>
        <v>0</v>
      </c>
      <c r="AA64" s="72"/>
      <c r="AB64" s="68">
        <f t="shared" si="7"/>
        <v>0</v>
      </c>
      <c r="AC64" s="68">
        <f t="shared" si="8"/>
        <v>0</v>
      </c>
      <c r="AD64" s="68"/>
      <c r="AE64" s="55"/>
      <c r="AF64" s="69">
        <f t="shared" si="5"/>
        <v>0</v>
      </c>
      <c r="AG64" s="86"/>
      <c r="AH64" s="108"/>
      <c r="AI64" s="108"/>
      <c r="AJ64" s="108"/>
      <c r="AK64" s="70">
        <f t="shared" si="6"/>
        <v>0</v>
      </c>
      <c r="AL64" s="71"/>
      <c r="AM64" s="48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</row>
    <row r="65" spans="1:151" s="75" customFormat="1" ht="15" customHeight="1" x14ac:dyDescent="0.3">
      <c r="A65" s="65"/>
      <c r="B65" s="109"/>
      <c r="C65" s="110"/>
      <c r="D65" s="110"/>
      <c r="E65" s="111"/>
      <c r="F65" s="85"/>
      <c r="G65" s="86"/>
      <c r="H65" s="86"/>
      <c r="I65" s="86"/>
      <c r="J65" s="86"/>
      <c r="K65" s="86"/>
      <c r="L65" s="86"/>
      <c r="M65" s="86"/>
      <c r="N65" s="86"/>
      <c r="O65" s="86"/>
      <c r="P65" s="86"/>
      <c r="Q65" s="67">
        <f t="shared" si="0"/>
        <v>0</v>
      </c>
      <c r="R65" s="67">
        <f t="shared" si="1"/>
        <v>0</v>
      </c>
      <c r="S65" s="86"/>
      <c r="T65" s="86"/>
      <c r="U65" s="86"/>
      <c r="V65" s="86"/>
      <c r="W65" s="66">
        <f t="shared" si="2"/>
        <v>0</v>
      </c>
      <c r="X65" s="98"/>
      <c r="Y65" s="68">
        <f t="shared" si="3"/>
        <v>0</v>
      </c>
      <c r="Z65" s="68">
        <f t="shared" si="4"/>
        <v>0</v>
      </c>
      <c r="AA65" s="72"/>
      <c r="AB65" s="68">
        <f t="shared" si="7"/>
        <v>0</v>
      </c>
      <c r="AC65" s="68">
        <f t="shared" si="8"/>
        <v>0</v>
      </c>
      <c r="AD65" s="68"/>
      <c r="AE65" s="55"/>
      <c r="AF65" s="69">
        <f t="shared" si="5"/>
        <v>0</v>
      </c>
      <c r="AG65" s="86"/>
      <c r="AH65" s="108"/>
      <c r="AI65" s="108"/>
      <c r="AJ65" s="108"/>
      <c r="AK65" s="70">
        <f t="shared" si="6"/>
        <v>0</v>
      </c>
      <c r="AL65" s="71"/>
      <c r="AM65" s="48"/>
      <c r="AN65" s="5"/>
      <c r="AO65" s="5"/>
      <c r="AP65" s="5"/>
      <c r="AQ65" s="5"/>
      <c r="AR65" s="7"/>
      <c r="AS65" s="7"/>
      <c r="AT65" s="7"/>
      <c r="AU65" s="7"/>
      <c r="AV65" s="7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  <c r="BR65"/>
      <c r="BS65"/>
      <c r="BT65"/>
      <c r="BU65"/>
      <c r="BV65"/>
      <c r="BW65"/>
      <c r="BX65"/>
      <c r="BY65"/>
      <c r="BZ65"/>
      <c r="CA65"/>
      <c r="CB65"/>
      <c r="CC65"/>
      <c r="CD65"/>
      <c r="CE65" s="1"/>
      <c r="CF65"/>
      <c r="CG65"/>
      <c r="CH65"/>
      <c r="CI65"/>
      <c r="CJ65"/>
      <c r="CK65"/>
      <c r="CL65"/>
      <c r="CM65"/>
      <c r="CN65"/>
      <c r="CO65"/>
      <c r="CP65"/>
      <c r="CQ65"/>
      <c r="CR65"/>
      <c r="CS65"/>
      <c r="CT65"/>
      <c r="CU65"/>
      <c r="CV65"/>
      <c r="CW65"/>
      <c r="CX65"/>
      <c r="CY65"/>
      <c r="CZ65"/>
      <c r="DA65"/>
      <c r="DB65"/>
      <c r="DC65"/>
      <c r="DD65"/>
      <c r="DE65"/>
      <c r="DF65"/>
      <c r="DG65"/>
      <c r="DH65"/>
      <c r="DI65"/>
      <c r="DJ65"/>
      <c r="DK65"/>
      <c r="DL65"/>
      <c r="DM65"/>
      <c r="DN65"/>
      <c r="DO65"/>
      <c r="DP65"/>
      <c r="DQ65"/>
      <c r="DR65"/>
      <c r="DS65"/>
      <c r="DT65"/>
      <c r="DU65"/>
      <c r="DV65"/>
      <c r="DW65"/>
      <c r="DX65"/>
      <c r="DY65"/>
      <c r="DZ65"/>
      <c r="EA65"/>
      <c r="EB65"/>
      <c r="EC65"/>
      <c r="ED65"/>
      <c r="EE65"/>
      <c r="EF65"/>
      <c r="EG65"/>
      <c r="EH65"/>
      <c r="EI65"/>
      <c r="EJ65"/>
      <c r="EK65"/>
      <c r="EL65"/>
      <c r="EM65"/>
      <c r="EN65"/>
      <c r="EO65"/>
      <c r="EP65"/>
      <c r="EQ65"/>
      <c r="ER65"/>
      <c r="ES65"/>
      <c r="ET65"/>
      <c r="EU65"/>
    </row>
    <row r="66" spans="1:151" ht="15" customHeight="1" x14ac:dyDescent="0.3">
      <c r="A66" s="65"/>
      <c r="B66" s="109"/>
      <c r="C66" s="110"/>
      <c r="D66" s="110"/>
      <c r="E66" s="111"/>
      <c r="F66" s="85"/>
      <c r="G66" s="86"/>
      <c r="H66" s="86"/>
      <c r="I66" s="86"/>
      <c r="J66" s="86"/>
      <c r="K66" s="86"/>
      <c r="L66" s="86"/>
      <c r="M66" s="86"/>
      <c r="N66" s="86"/>
      <c r="O66" s="86"/>
      <c r="P66" s="86"/>
      <c r="Q66" s="67">
        <f t="shared" si="0"/>
        <v>0</v>
      </c>
      <c r="R66" s="67">
        <f t="shared" si="1"/>
        <v>0</v>
      </c>
      <c r="S66" s="86"/>
      <c r="T66" s="86"/>
      <c r="U66" s="86"/>
      <c r="V66" s="86"/>
      <c r="W66" s="66">
        <f t="shared" si="2"/>
        <v>0</v>
      </c>
      <c r="X66" s="96"/>
      <c r="Y66" s="68">
        <f t="shared" si="3"/>
        <v>0</v>
      </c>
      <c r="Z66" s="68">
        <f t="shared" si="4"/>
        <v>0</v>
      </c>
      <c r="AA66" s="72"/>
      <c r="AB66" s="68">
        <f t="shared" si="7"/>
        <v>0</v>
      </c>
      <c r="AC66" s="68">
        <f t="shared" si="8"/>
        <v>0</v>
      </c>
      <c r="AD66" s="68"/>
      <c r="AE66" s="55"/>
      <c r="AF66" s="69">
        <f t="shared" si="5"/>
        <v>0</v>
      </c>
      <c r="AG66" s="86"/>
      <c r="AH66" s="108"/>
      <c r="AI66" s="108"/>
      <c r="AJ66" s="108"/>
      <c r="AK66" s="70">
        <f t="shared" si="6"/>
        <v>0</v>
      </c>
      <c r="AL66" s="71"/>
      <c r="AM66" s="48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</row>
    <row r="67" spans="1:151" s="42" customFormat="1" ht="15" customHeight="1" x14ac:dyDescent="0.3">
      <c r="A67" s="65"/>
      <c r="B67" s="109"/>
      <c r="C67" s="110"/>
      <c r="D67" s="110"/>
      <c r="E67" s="111"/>
      <c r="F67" s="85"/>
      <c r="G67" s="86"/>
      <c r="H67" s="86"/>
      <c r="I67" s="86"/>
      <c r="J67" s="86"/>
      <c r="K67" s="86"/>
      <c r="L67" s="86"/>
      <c r="M67" s="86"/>
      <c r="N67" s="86"/>
      <c r="O67" s="86"/>
      <c r="P67" s="86"/>
      <c r="Q67" s="67">
        <f t="shared" si="0"/>
        <v>0</v>
      </c>
      <c r="R67" s="67">
        <f t="shared" si="1"/>
        <v>0</v>
      </c>
      <c r="S67" s="86"/>
      <c r="T67" s="86"/>
      <c r="U67" s="86"/>
      <c r="V67" s="86"/>
      <c r="W67" s="66">
        <f t="shared" si="2"/>
        <v>0</v>
      </c>
      <c r="X67" s="98"/>
      <c r="Y67" s="68">
        <f t="shared" si="3"/>
        <v>0</v>
      </c>
      <c r="Z67" s="68">
        <f t="shared" si="4"/>
        <v>0</v>
      </c>
      <c r="AA67" s="72"/>
      <c r="AB67" s="68">
        <f t="shared" si="7"/>
        <v>0</v>
      </c>
      <c r="AC67" s="68">
        <f t="shared" si="8"/>
        <v>0</v>
      </c>
      <c r="AD67" s="68"/>
      <c r="AE67" s="55"/>
      <c r="AF67" s="69">
        <f t="shared" si="5"/>
        <v>0</v>
      </c>
      <c r="AG67" s="86"/>
      <c r="AH67" s="108"/>
      <c r="AI67" s="108"/>
      <c r="AJ67" s="108"/>
      <c r="AK67" s="70">
        <f t="shared" si="6"/>
        <v>0</v>
      </c>
      <c r="AL67" s="71"/>
      <c r="AM67" s="48"/>
      <c r="AN67" s="5"/>
      <c r="AO67" s="5"/>
      <c r="AP67" s="5"/>
      <c r="AQ67" s="5"/>
      <c r="AR67" s="7"/>
      <c r="AS67" s="7"/>
      <c r="AT67" s="7"/>
      <c r="AU67" s="7"/>
      <c r="AV67" s="7"/>
      <c r="AW67"/>
      <c r="AX67"/>
      <c r="AY67"/>
      <c r="AZ67"/>
      <c r="BA67"/>
      <c r="BB67"/>
      <c r="BC67"/>
      <c r="BD67"/>
      <c r="BE67"/>
      <c r="BF67"/>
      <c r="BG67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/>
      <c r="CG67"/>
      <c r="CH67"/>
      <c r="CI67"/>
      <c r="CJ67"/>
      <c r="CK67"/>
      <c r="CL67"/>
      <c r="CM67"/>
      <c r="CN67"/>
      <c r="CO67"/>
      <c r="CP67"/>
      <c r="CQ67"/>
      <c r="CR67"/>
      <c r="CS67"/>
      <c r="CT67"/>
      <c r="CU67"/>
      <c r="CV67"/>
      <c r="CW67"/>
      <c r="CX67"/>
      <c r="CY67"/>
      <c r="CZ67"/>
      <c r="DA67"/>
      <c r="DB67"/>
      <c r="DC67"/>
      <c r="DD67"/>
      <c r="DE67"/>
      <c r="DF67"/>
      <c r="DG67"/>
      <c r="DH67"/>
      <c r="DI67"/>
      <c r="DJ67"/>
      <c r="DK67"/>
      <c r="DL67"/>
      <c r="DM67"/>
      <c r="DN67"/>
      <c r="DO67"/>
      <c r="DP67"/>
      <c r="DQ67"/>
      <c r="DR67"/>
      <c r="DS67"/>
      <c r="DT67"/>
      <c r="DU67"/>
      <c r="DV67"/>
      <c r="DW67"/>
      <c r="DX67"/>
      <c r="DY67"/>
      <c r="DZ67"/>
      <c r="EA67"/>
      <c r="EB67"/>
      <c r="EC67"/>
      <c r="ED67"/>
      <c r="EE67"/>
      <c r="EF67"/>
      <c r="EG67"/>
      <c r="EH67"/>
      <c r="EI67"/>
      <c r="EJ67"/>
      <c r="EK67"/>
      <c r="EL67"/>
      <c r="EM67"/>
      <c r="EN67"/>
      <c r="EO67"/>
      <c r="EP67"/>
      <c r="EQ67"/>
      <c r="ER67"/>
      <c r="ES67"/>
      <c r="ET67"/>
      <c r="EU67"/>
    </row>
    <row r="68" spans="1:151" ht="15" customHeight="1" x14ac:dyDescent="0.3">
      <c r="A68" s="65"/>
      <c r="B68" s="109"/>
      <c r="C68" s="110"/>
      <c r="D68" s="110"/>
      <c r="E68" s="111"/>
      <c r="F68" s="85" t="s">
        <v>53</v>
      </c>
      <c r="G68" s="86"/>
      <c r="H68" s="86"/>
      <c r="I68" s="86"/>
      <c r="J68" s="86"/>
      <c r="K68" s="86"/>
      <c r="L68" s="86"/>
      <c r="M68" s="86"/>
      <c r="N68" s="86"/>
      <c r="O68" s="86"/>
      <c r="P68" s="89"/>
      <c r="Q68" s="67">
        <f t="shared" si="0"/>
        <v>0</v>
      </c>
      <c r="R68" s="67">
        <f t="shared" si="1"/>
        <v>0</v>
      </c>
      <c r="S68" s="86"/>
      <c r="T68" s="86"/>
      <c r="U68" s="86"/>
      <c r="V68" s="86"/>
      <c r="W68" s="66">
        <f t="shared" si="2"/>
        <v>0</v>
      </c>
      <c r="X68" s="97"/>
      <c r="Y68" s="68">
        <f t="shared" si="3"/>
        <v>0</v>
      </c>
      <c r="Z68" s="68">
        <f t="shared" si="4"/>
        <v>0</v>
      </c>
      <c r="AA68" s="72"/>
      <c r="AB68" s="68">
        <f t="shared" si="7"/>
        <v>0</v>
      </c>
      <c r="AC68" s="68">
        <f t="shared" si="8"/>
        <v>0</v>
      </c>
      <c r="AD68" s="68"/>
      <c r="AE68" s="55"/>
      <c r="AF68" s="69">
        <f t="shared" si="5"/>
        <v>0</v>
      </c>
      <c r="AG68" s="86"/>
      <c r="AH68" s="108"/>
      <c r="AI68" s="108"/>
      <c r="AJ68" s="108"/>
      <c r="AK68" s="70">
        <f t="shared" si="6"/>
        <v>0</v>
      </c>
      <c r="AL68" s="71"/>
      <c r="AM68" s="48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</row>
    <row r="69" spans="1:151" ht="15" customHeight="1" x14ac:dyDescent="0.3">
      <c r="A69" s="65"/>
      <c r="B69" s="109"/>
      <c r="C69" s="110"/>
      <c r="D69" s="110"/>
      <c r="E69" s="111"/>
      <c r="F69" s="95"/>
      <c r="G69" s="86"/>
      <c r="H69" s="86"/>
      <c r="I69" s="86"/>
      <c r="J69" s="86"/>
      <c r="K69" s="86"/>
      <c r="L69" s="86"/>
      <c r="M69" s="86"/>
      <c r="N69" s="86"/>
      <c r="O69" s="86"/>
      <c r="P69" s="89"/>
      <c r="Q69" s="67">
        <f t="shared" si="0"/>
        <v>0</v>
      </c>
      <c r="R69" s="67">
        <f t="shared" si="1"/>
        <v>0</v>
      </c>
      <c r="S69" s="86"/>
      <c r="T69" s="86"/>
      <c r="U69" s="86"/>
      <c r="V69" s="86"/>
      <c r="W69" s="66">
        <f t="shared" si="2"/>
        <v>0</v>
      </c>
      <c r="X69" s="97"/>
      <c r="Y69" s="68">
        <f t="shared" si="3"/>
        <v>0</v>
      </c>
      <c r="Z69" s="68">
        <f t="shared" si="4"/>
        <v>0</v>
      </c>
      <c r="AA69" s="72"/>
      <c r="AB69" s="68">
        <f t="shared" si="7"/>
        <v>0</v>
      </c>
      <c r="AC69" s="68">
        <f t="shared" si="8"/>
        <v>0</v>
      </c>
      <c r="AD69" s="68"/>
      <c r="AE69" s="55"/>
      <c r="AF69" s="69">
        <f t="shared" si="5"/>
        <v>0</v>
      </c>
      <c r="AG69" s="86"/>
      <c r="AH69" s="108"/>
      <c r="AI69" s="108"/>
      <c r="AJ69" s="108"/>
      <c r="AK69" s="70">
        <f t="shared" si="6"/>
        <v>0</v>
      </c>
      <c r="AL69" s="71"/>
      <c r="AM69" s="48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</row>
    <row r="70" spans="1:151" ht="15" customHeight="1" x14ac:dyDescent="0.3">
      <c r="A70" s="65"/>
      <c r="B70" s="109"/>
      <c r="C70" s="110"/>
      <c r="D70" s="110"/>
      <c r="E70" s="111"/>
      <c r="F70" s="95"/>
      <c r="G70" s="86"/>
      <c r="H70" s="86"/>
      <c r="I70" s="86"/>
      <c r="J70" s="86"/>
      <c r="K70" s="86"/>
      <c r="L70" s="86"/>
      <c r="M70" s="86"/>
      <c r="N70" s="86"/>
      <c r="O70" s="86"/>
      <c r="P70" s="89"/>
      <c r="Q70" s="67">
        <f t="shared" si="0"/>
        <v>0</v>
      </c>
      <c r="R70" s="67">
        <f t="shared" si="1"/>
        <v>0</v>
      </c>
      <c r="S70" s="86"/>
      <c r="T70" s="86"/>
      <c r="U70" s="86"/>
      <c r="V70" s="86"/>
      <c r="W70" s="66">
        <f t="shared" si="2"/>
        <v>0</v>
      </c>
      <c r="X70" s="97"/>
      <c r="Y70" s="68">
        <f t="shared" si="3"/>
        <v>0</v>
      </c>
      <c r="Z70" s="68">
        <f t="shared" si="4"/>
        <v>0</v>
      </c>
      <c r="AA70" s="72"/>
      <c r="AB70" s="68">
        <f t="shared" si="7"/>
        <v>0</v>
      </c>
      <c r="AC70" s="68">
        <f t="shared" si="8"/>
        <v>0</v>
      </c>
      <c r="AD70" s="68"/>
      <c r="AE70" s="55"/>
      <c r="AF70" s="69">
        <f t="shared" si="5"/>
        <v>0</v>
      </c>
      <c r="AG70" s="86"/>
      <c r="AH70" s="108"/>
      <c r="AI70" s="108"/>
      <c r="AJ70" s="108"/>
      <c r="AK70" s="70">
        <f t="shared" si="6"/>
        <v>0</v>
      </c>
      <c r="AL70" s="71"/>
      <c r="AM70" s="48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</row>
    <row r="71" spans="1:151" ht="15" customHeight="1" x14ac:dyDescent="0.3">
      <c r="A71" s="65"/>
      <c r="B71" s="109"/>
      <c r="C71" s="110"/>
      <c r="D71" s="110"/>
      <c r="E71" s="111"/>
      <c r="F71" s="95"/>
      <c r="G71" s="86"/>
      <c r="H71" s="86"/>
      <c r="I71" s="86"/>
      <c r="J71" s="86"/>
      <c r="K71" s="86"/>
      <c r="L71" s="86"/>
      <c r="M71" s="86"/>
      <c r="N71" s="86"/>
      <c r="O71" s="86"/>
      <c r="P71" s="89"/>
      <c r="Q71" s="67">
        <f t="shared" ref="Q71:Q75" si="9">P71*0.02</f>
        <v>0</v>
      </c>
      <c r="R71" s="67">
        <f t="shared" ref="R71:R75" si="10">P71+Q71</f>
        <v>0</v>
      </c>
      <c r="S71" s="86"/>
      <c r="T71" s="86"/>
      <c r="U71" s="86"/>
      <c r="V71" s="86"/>
      <c r="W71" s="66">
        <f t="shared" ref="W71:W75" si="11">G71+I71+K71+M71+O71+R71+S71+T71+U71+V71</f>
        <v>0</v>
      </c>
      <c r="X71" s="97"/>
      <c r="Y71" s="68">
        <f t="shared" ref="Y71:Y75" si="12">X71*0.02</f>
        <v>0</v>
      </c>
      <c r="Z71" s="68">
        <f t="shared" ref="Z71:Z75" si="13">X71+Y71</f>
        <v>0</v>
      </c>
      <c r="AA71" s="72"/>
      <c r="AB71" s="68">
        <f t="shared" si="7"/>
        <v>0</v>
      </c>
      <c r="AC71" s="68">
        <f t="shared" si="8"/>
        <v>0</v>
      </c>
      <c r="AD71" s="68"/>
      <c r="AE71" s="55"/>
      <c r="AF71" s="69">
        <f t="shared" si="5"/>
        <v>0</v>
      </c>
      <c r="AG71" s="86"/>
      <c r="AH71" s="108"/>
      <c r="AI71" s="108"/>
      <c r="AJ71" s="108"/>
      <c r="AK71" s="70">
        <f t="shared" ref="AK71:AK136" si="14">AF71-AG71-AH71-AI71-AJ71</f>
        <v>0</v>
      </c>
      <c r="AL71" s="71"/>
      <c r="AM71" s="48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</row>
    <row r="72" spans="1:151" ht="15" customHeight="1" x14ac:dyDescent="0.3">
      <c r="A72" s="65"/>
      <c r="B72" s="109"/>
      <c r="C72" s="110"/>
      <c r="D72" s="110"/>
      <c r="E72" s="111"/>
      <c r="F72" s="95"/>
      <c r="G72" s="86"/>
      <c r="H72" s="86"/>
      <c r="I72" s="86"/>
      <c r="J72" s="86"/>
      <c r="K72" s="86"/>
      <c r="L72" s="86"/>
      <c r="M72" s="86"/>
      <c r="N72" s="86"/>
      <c r="O72" s="86"/>
      <c r="P72" s="89"/>
      <c r="Q72" s="67">
        <f t="shared" si="9"/>
        <v>0</v>
      </c>
      <c r="R72" s="67">
        <f t="shared" si="10"/>
        <v>0</v>
      </c>
      <c r="S72" s="86"/>
      <c r="T72" s="86"/>
      <c r="U72" s="86"/>
      <c r="V72" s="86"/>
      <c r="W72" s="66">
        <f t="shared" si="11"/>
        <v>0</v>
      </c>
      <c r="X72" s="97"/>
      <c r="Y72" s="68">
        <f t="shared" si="12"/>
        <v>0</v>
      </c>
      <c r="Z72" s="68">
        <f t="shared" si="13"/>
        <v>0</v>
      </c>
      <c r="AA72" s="72"/>
      <c r="AB72" s="68">
        <f t="shared" si="7"/>
        <v>0</v>
      </c>
      <c r="AC72" s="68">
        <f t="shared" si="8"/>
        <v>0</v>
      </c>
      <c r="AD72" s="68"/>
      <c r="AE72" s="55"/>
      <c r="AF72" s="69">
        <f t="shared" si="5"/>
        <v>0</v>
      </c>
      <c r="AG72" s="86"/>
      <c r="AH72" s="108"/>
      <c r="AI72" s="108"/>
      <c r="AJ72" s="108"/>
      <c r="AK72" s="70">
        <f t="shared" si="14"/>
        <v>0</v>
      </c>
      <c r="AL72" s="71"/>
      <c r="AM72" s="48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</row>
    <row r="73" spans="1:151" ht="15" customHeight="1" thickBot="1" x14ac:dyDescent="0.35">
      <c r="A73" s="65"/>
      <c r="B73" s="109"/>
      <c r="C73" s="110"/>
      <c r="D73" s="110"/>
      <c r="E73" s="111"/>
      <c r="F73" s="95"/>
      <c r="G73" s="86"/>
      <c r="H73" s="86"/>
      <c r="I73" s="86"/>
      <c r="J73" s="86"/>
      <c r="K73" s="86"/>
      <c r="L73" s="86"/>
      <c r="M73" s="86"/>
      <c r="N73" s="86"/>
      <c r="O73" s="86"/>
      <c r="P73" s="89"/>
      <c r="Q73" s="67">
        <f t="shared" si="9"/>
        <v>0</v>
      </c>
      <c r="R73" s="67">
        <f t="shared" si="10"/>
        <v>0</v>
      </c>
      <c r="S73" s="86"/>
      <c r="T73" s="86"/>
      <c r="U73" s="86"/>
      <c r="V73" s="86"/>
      <c r="W73" s="66">
        <f t="shared" si="11"/>
        <v>0</v>
      </c>
      <c r="X73" s="97"/>
      <c r="Y73" s="68">
        <f t="shared" si="12"/>
        <v>0</v>
      </c>
      <c r="Z73" s="68">
        <f t="shared" si="13"/>
        <v>0</v>
      </c>
      <c r="AA73" s="72"/>
      <c r="AB73" s="68">
        <f t="shared" si="7"/>
        <v>0</v>
      </c>
      <c r="AC73" s="68">
        <f t="shared" si="8"/>
        <v>0</v>
      </c>
      <c r="AD73" s="68"/>
      <c r="AE73" s="55"/>
      <c r="AF73" s="69">
        <f t="shared" si="5"/>
        <v>0</v>
      </c>
      <c r="AG73" s="86"/>
      <c r="AH73" s="108"/>
      <c r="AI73" s="108"/>
      <c r="AJ73" s="108"/>
      <c r="AK73" s="70">
        <f t="shared" si="14"/>
        <v>0</v>
      </c>
      <c r="AL73" s="71"/>
      <c r="AM73" s="48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</row>
    <row r="74" spans="1:151" ht="15" customHeight="1" thickBot="1" x14ac:dyDescent="0.35">
      <c r="A74" s="76" t="s">
        <v>54</v>
      </c>
      <c r="B74" s="77"/>
      <c r="C74" s="78"/>
      <c r="D74" s="77"/>
      <c r="E74" s="79"/>
      <c r="F74" s="80"/>
      <c r="G74" s="81">
        <f>SUM(G7:G73)</f>
        <v>0</v>
      </c>
      <c r="H74" s="81"/>
      <c r="I74" s="81">
        <f t="shared" ref="I74:AK74" si="15">SUM(I7:I73)</f>
        <v>0</v>
      </c>
      <c r="J74" s="81">
        <f t="shared" si="15"/>
        <v>0</v>
      </c>
      <c r="K74" s="81">
        <f t="shared" si="15"/>
        <v>0</v>
      </c>
      <c r="L74" s="81">
        <f t="shared" si="15"/>
        <v>0</v>
      </c>
      <c r="M74" s="81">
        <f t="shared" si="15"/>
        <v>0</v>
      </c>
      <c r="N74" s="81">
        <f t="shared" si="15"/>
        <v>0</v>
      </c>
      <c r="O74" s="81">
        <f t="shared" si="15"/>
        <v>0</v>
      </c>
      <c r="P74" s="81">
        <f t="shared" si="15"/>
        <v>0</v>
      </c>
      <c r="Q74" s="81">
        <f t="shared" si="15"/>
        <v>0</v>
      </c>
      <c r="R74" s="81">
        <f t="shared" si="15"/>
        <v>0</v>
      </c>
      <c r="S74" s="81">
        <f t="shared" si="15"/>
        <v>0</v>
      </c>
      <c r="T74" s="81">
        <f t="shared" si="15"/>
        <v>0</v>
      </c>
      <c r="U74" s="81">
        <f t="shared" si="15"/>
        <v>0</v>
      </c>
      <c r="V74" s="81">
        <f t="shared" si="15"/>
        <v>0</v>
      </c>
      <c r="W74" s="81">
        <f t="shared" si="15"/>
        <v>0</v>
      </c>
      <c r="X74" s="81">
        <f t="shared" si="15"/>
        <v>0</v>
      </c>
      <c r="Y74" s="81">
        <f t="shared" si="15"/>
        <v>0</v>
      </c>
      <c r="Z74" s="81">
        <f t="shared" si="15"/>
        <v>0</v>
      </c>
      <c r="AA74" s="81">
        <f t="shared" si="15"/>
        <v>0</v>
      </c>
      <c r="AB74" s="81">
        <f t="shared" si="15"/>
        <v>0</v>
      </c>
      <c r="AC74" s="81">
        <f t="shared" si="15"/>
        <v>0</v>
      </c>
      <c r="AD74" s="81">
        <f t="shared" si="15"/>
        <v>0</v>
      </c>
      <c r="AE74" s="81">
        <f t="shared" si="15"/>
        <v>0</v>
      </c>
      <c r="AF74" s="81">
        <f t="shared" si="15"/>
        <v>0</v>
      </c>
      <c r="AG74" s="81">
        <f t="shared" si="15"/>
        <v>0</v>
      </c>
      <c r="AH74" s="81">
        <f t="shared" si="15"/>
        <v>0</v>
      </c>
      <c r="AI74" s="81">
        <f t="shared" si="15"/>
        <v>0</v>
      </c>
      <c r="AJ74" s="81">
        <f t="shared" si="15"/>
        <v>0</v>
      </c>
      <c r="AK74" s="81">
        <f t="shared" si="15"/>
        <v>0</v>
      </c>
      <c r="AL74" s="82" t="s">
        <v>54</v>
      </c>
      <c r="AM74" s="83"/>
      <c r="AN74" s="5"/>
      <c r="AO74" s="5"/>
      <c r="AP74" s="5"/>
      <c r="AQ74" s="5"/>
      <c r="AR74" s="7"/>
      <c r="AS74" s="7"/>
      <c r="AT74" s="7"/>
      <c r="AU74" s="7"/>
      <c r="AV74" s="7"/>
      <c r="CE74" s="1"/>
    </row>
    <row r="75" spans="1:151" x14ac:dyDescent="0.3">
      <c r="AG75" s="84"/>
    </row>
    <row r="76" spans="1:151" x14ac:dyDescent="0.3">
      <c r="AG76" s="84"/>
    </row>
    <row r="77" spans="1:151" x14ac:dyDescent="0.3">
      <c r="AG77" s="84"/>
    </row>
    <row r="78" spans="1:151" x14ac:dyDescent="0.3">
      <c r="AG78" s="84"/>
    </row>
    <row r="79" spans="1:151" x14ac:dyDescent="0.3">
      <c r="AG79" s="84"/>
    </row>
    <row r="80" spans="1:151" x14ac:dyDescent="0.3">
      <c r="AG80" s="84"/>
    </row>
    <row r="81" spans="33:33" x14ac:dyDescent="0.3">
      <c r="AG81" s="84"/>
    </row>
    <row r="82" spans="33:33" x14ac:dyDescent="0.3">
      <c r="AG82" s="84"/>
    </row>
    <row r="83" spans="33:33" x14ac:dyDescent="0.3">
      <c r="AG83" s="84"/>
    </row>
    <row r="84" spans="33:33" x14ac:dyDescent="0.3">
      <c r="AG84" s="84"/>
    </row>
    <row r="85" spans="33:33" x14ac:dyDescent="0.3">
      <c r="AG85" s="84"/>
    </row>
    <row r="86" spans="33:33" x14ac:dyDescent="0.3">
      <c r="AG86" s="84"/>
    </row>
    <row r="87" spans="33:33" x14ac:dyDescent="0.3">
      <c r="AG87" s="84"/>
    </row>
    <row r="88" spans="33:33" x14ac:dyDescent="0.3">
      <c r="AG88" s="84"/>
    </row>
    <row r="89" spans="33:33" x14ac:dyDescent="0.3">
      <c r="AG89" s="84"/>
    </row>
    <row r="90" spans="33:33" x14ac:dyDescent="0.3">
      <c r="AG90" s="84"/>
    </row>
    <row r="91" spans="33:33" x14ac:dyDescent="0.3">
      <c r="AG91" s="84"/>
    </row>
    <row r="92" spans="33:33" x14ac:dyDescent="0.3">
      <c r="AG92" s="84"/>
    </row>
    <row r="93" spans="33:33" x14ac:dyDescent="0.3">
      <c r="AG93" s="84"/>
    </row>
    <row r="94" spans="33:33" x14ac:dyDescent="0.3">
      <c r="AG94" s="84"/>
    </row>
    <row r="95" spans="33:33" x14ac:dyDescent="0.3">
      <c r="AG95" s="84"/>
    </row>
    <row r="96" spans="33:33" x14ac:dyDescent="0.3">
      <c r="AG96" s="84"/>
    </row>
    <row r="97" spans="33:33" x14ac:dyDescent="0.3">
      <c r="AG97" s="84"/>
    </row>
    <row r="98" spans="33:33" x14ac:dyDescent="0.3">
      <c r="AG98" s="84"/>
    </row>
    <row r="99" spans="33:33" x14ac:dyDescent="0.3">
      <c r="AG99" s="84"/>
    </row>
    <row r="100" spans="33:33" x14ac:dyDescent="0.3">
      <c r="AG100" s="84"/>
    </row>
    <row r="101" spans="33:33" x14ac:dyDescent="0.3">
      <c r="AG101" s="84"/>
    </row>
    <row r="102" spans="33:33" x14ac:dyDescent="0.3">
      <c r="AG102" s="84"/>
    </row>
    <row r="103" spans="33:33" x14ac:dyDescent="0.3">
      <c r="AG103" s="84"/>
    </row>
    <row r="104" spans="33:33" x14ac:dyDescent="0.3">
      <c r="AG104" s="84"/>
    </row>
    <row r="105" spans="33:33" x14ac:dyDescent="0.3">
      <c r="AG105" s="84"/>
    </row>
    <row r="106" spans="33:33" x14ac:dyDescent="0.3">
      <c r="AG106" s="84"/>
    </row>
    <row r="107" spans="33:33" x14ac:dyDescent="0.3">
      <c r="AG107" s="84"/>
    </row>
    <row r="108" spans="33:33" x14ac:dyDescent="0.3">
      <c r="AG108" s="84"/>
    </row>
    <row r="109" spans="33:33" x14ac:dyDescent="0.3">
      <c r="AG109" s="84"/>
    </row>
    <row r="110" spans="33:33" x14ac:dyDescent="0.3">
      <c r="AG110" s="84"/>
    </row>
    <row r="111" spans="33:33" x14ac:dyDescent="0.3">
      <c r="AG111" s="84"/>
    </row>
    <row r="112" spans="33:33" x14ac:dyDescent="0.3">
      <c r="AG112" s="84"/>
    </row>
    <row r="113" spans="33:33" x14ac:dyDescent="0.3">
      <c r="AG113" s="84"/>
    </row>
    <row r="114" spans="33:33" x14ac:dyDescent="0.3">
      <c r="AG114" s="84"/>
    </row>
    <row r="115" spans="33:33" x14ac:dyDescent="0.3">
      <c r="AG115" s="84"/>
    </row>
    <row r="116" spans="33:33" x14ac:dyDescent="0.3">
      <c r="AG116" s="84"/>
    </row>
    <row r="117" spans="33:33" x14ac:dyDescent="0.3">
      <c r="AG117" s="84"/>
    </row>
    <row r="118" spans="33:33" x14ac:dyDescent="0.3">
      <c r="AG118" s="84"/>
    </row>
    <row r="119" spans="33:33" x14ac:dyDescent="0.3">
      <c r="AG119" s="84"/>
    </row>
    <row r="120" spans="33:33" x14ac:dyDescent="0.3">
      <c r="AG120" s="84"/>
    </row>
    <row r="121" spans="33:33" x14ac:dyDescent="0.3">
      <c r="AG121" s="84"/>
    </row>
    <row r="122" spans="33:33" x14ac:dyDescent="0.3">
      <c r="AG122" s="84"/>
    </row>
    <row r="123" spans="33:33" x14ac:dyDescent="0.3">
      <c r="AG123" s="84"/>
    </row>
    <row r="124" spans="33:33" x14ac:dyDescent="0.3">
      <c r="AG124" s="84"/>
    </row>
    <row r="125" spans="33:33" x14ac:dyDescent="0.3">
      <c r="AG125" s="84"/>
    </row>
    <row r="126" spans="33:33" x14ac:dyDescent="0.3">
      <c r="AG126" s="84"/>
    </row>
    <row r="127" spans="33:33" x14ac:dyDescent="0.3">
      <c r="AG127" s="84"/>
    </row>
    <row r="128" spans="33:33" x14ac:dyDescent="0.3">
      <c r="AG128" s="84"/>
    </row>
    <row r="129" spans="33:33" x14ac:dyDescent="0.3">
      <c r="AG129" s="84"/>
    </row>
    <row r="130" spans="33:33" x14ac:dyDescent="0.3">
      <c r="AG130" s="84"/>
    </row>
    <row r="131" spans="33:33" x14ac:dyDescent="0.3">
      <c r="AG131" s="84"/>
    </row>
    <row r="132" spans="33:33" x14ac:dyDescent="0.3">
      <c r="AG132" s="84"/>
    </row>
    <row r="133" spans="33:33" x14ac:dyDescent="0.3">
      <c r="AG133" s="84"/>
    </row>
    <row r="134" spans="33:33" x14ac:dyDescent="0.3">
      <c r="AG134" s="84"/>
    </row>
    <row r="135" spans="33:33" x14ac:dyDescent="0.3">
      <c r="AG135" s="84"/>
    </row>
    <row r="136" spans="33:33" x14ac:dyDescent="0.3">
      <c r="AG136" s="84"/>
    </row>
    <row r="137" spans="33:33" x14ac:dyDescent="0.3">
      <c r="AG137" s="84"/>
    </row>
    <row r="138" spans="33:33" x14ac:dyDescent="0.3">
      <c r="AG138" s="84"/>
    </row>
    <row r="139" spans="33:33" x14ac:dyDescent="0.3">
      <c r="AG139" s="84"/>
    </row>
    <row r="140" spans="33:33" x14ac:dyDescent="0.3">
      <c r="AG140" s="84"/>
    </row>
    <row r="141" spans="33:33" x14ac:dyDescent="0.3">
      <c r="AG141" s="84"/>
    </row>
    <row r="142" spans="33:33" x14ac:dyDescent="0.3">
      <c r="AG142" s="84"/>
    </row>
    <row r="143" spans="33:33" x14ac:dyDescent="0.3">
      <c r="AG143" s="84"/>
    </row>
    <row r="144" spans="33:33" x14ac:dyDescent="0.3">
      <c r="AG144" s="84"/>
    </row>
    <row r="145" spans="33:33" x14ac:dyDescent="0.3">
      <c r="AG145" s="84"/>
    </row>
    <row r="146" spans="33:33" x14ac:dyDescent="0.3">
      <c r="AG146" s="84"/>
    </row>
    <row r="147" spans="33:33" x14ac:dyDescent="0.3">
      <c r="AG147" s="84"/>
    </row>
    <row r="148" spans="33:33" x14ac:dyDescent="0.3">
      <c r="AG148" s="84"/>
    </row>
    <row r="149" spans="33:33" x14ac:dyDescent="0.3">
      <c r="AG149" s="84"/>
    </row>
    <row r="150" spans="33:33" x14ac:dyDescent="0.3">
      <c r="AG150" s="84"/>
    </row>
    <row r="151" spans="33:33" x14ac:dyDescent="0.3">
      <c r="AG151" s="84"/>
    </row>
    <row r="152" spans="33:33" x14ac:dyDescent="0.3">
      <c r="AG152" s="84"/>
    </row>
    <row r="153" spans="33:33" x14ac:dyDescent="0.3">
      <c r="AG153" s="84"/>
    </row>
    <row r="154" spans="33:33" x14ac:dyDescent="0.3">
      <c r="AG154" s="84"/>
    </row>
    <row r="155" spans="33:33" x14ac:dyDescent="0.3">
      <c r="AG155" s="84"/>
    </row>
    <row r="156" spans="33:33" x14ac:dyDescent="0.3">
      <c r="AG156" s="84"/>
    </row>
    <row r="157" spans="33:33" x14ac:dyDescent="0.3">
      <c r="AG157" s="84"/>
    </row>
    <row r="158" spans="33:33" x14ac:dyDescent="0.3">
      <c r="AG158" s="84"/>
    </row>
    <row r="159" spans="33:33" x14ac:dyDescent="0.3">
      <c r="AG159" s="84"/>
    </row>
    <row r="160" spans="33:33" x14ac:dyDescent="0.3">
      <c r="AG160" s="84"/>
    </row>
    <row r="161" spans="33:33" x14ac:dyDescent="0.3">
      <c r="AG161" s="84"/>
    </row>
    <row r="162" spans="33:33" x14ac:dyDescent="0.3">
      <c r="AG162" s="84"/>
    </row>
    <row r="163" spans="33:33" x14ac:dyDescent="0.3">
      <c r="AG163" s="84"/>
    </row>
    <row r="164" spans="33:33" x14ac:dyDescent="0.3">
      <c r="AG164" s="84"/>
    </row>
    <row r="165" spans="33:33" x14ac:dyDescent="0.3">
      <c r="AG165" s="84"/>
    </row>
    <row r="166" spans="33:33" x14ac:dyDescent="0.3">
      <c r="AG166" s="84"/>
    </row>
    <row r="167" spans="33:33" x14ac:dyDescent="0.3">
      <c r="AG167" s="84"/>
    </row>
    <row r="168" spans="33:33" x14ac:dyDescent="0.3">
      <c r="AG168" s="84"/>
    </row>
    <row r="169" spans="33:33" x14ac:dyDescent="0.3">
      <c r="AG169" s="84"/>
    </row>
    <row r="170" spans="33:33" x14ac:dyDescent="0.3">
      <c r="AG170" s="84"/>
    </row>
    <row r="171" spans="33:33" x14ac:dyDescent="0.3">
      <c r="AG171" s="84"/>
    </row>
    <row r="172" spans="33:33" x14ac:dyDescent="0.3">
      <c r="AG172" s="84"/>
    </row>
    <row r="173" spans="33:33" x14ac:dyDescent="0.3">
      <c r="AG173" s="84"/>
    </row>
    <row r="174" spans="33:33" x14ac:dyDescent="0.3">
      <c r="AG174" s="84"/>
    </row>
    <row r="175" spans="33:33" x14ac:dyDescent="0.3">
      <c r="AG175" s="84"/>
    </row>
    <row r="176" spans="33:33" x14ac:dyDescent="0.3">
      <c r="AG176" s="84"/>
    </row>
    <row r="177" spans="33:33" x14ac:dyDescent="0.3">
      <c r="AG177" s="84"/>
    </row>
    <row r="178" spans="33:33" x14ac:dyDescent="0.3">
      <c r="AG178" s="84"/>
    </row>
    <row r="179" spans="33:33" x14ac:dyDescent="0.3">
      <c r="AG179" s="84"/>
    </row>
    <row r="180" spans="33:33" x14ac:dyDescent="0.3">
      <c r="AG180" s="84"/>
    </row>
    <row r="181" spans="33:33" x14ac:dyDescent="0.3">
      <c r="AG181" s="84"/>
    </row>
    <row r="182" spans="33:33" x14ac:dyDescent="0.3">
      <c r="AG182" s="84"/>
    </row>
    <row r="183" spans="33:33" x14ac:dyDescent="0.3">
      <c r="AG183" s="84"/>
    </row>
    <row r="184" spans="33:33" x14ac:dyDescent="0.3">
      <c r="AG184" s="84"/>
    </row>
    <row r="185" spans="33:33" x14ac:dyDescent="0.3">
      <c r="AG185" s="84"/>
    </row>
    <row r="186" spans="33:33" x14ac:dyDescent="0.3">
      <c r="AG186" s="84"/>
    </row>
    <row r="187" spans="33:33" x14ac:dyDescent="0.3">
      <c r="AG187" s="84"/>
    </row>
    <row r="188" spans="33:33" x14ac:dyDescent="0.3">
      <c r="AG188" s="84"/>
    </row>
    <row r="189" spans="33:33" x14ac:dyDescent="0.3">
      <c r="AG189" s="84"/>
    </row>
    <row r="190" spans="33:33" x14ac:dyDescent="0.3">
      <c r="AG190" s="84"/>
    </row>
    <row r="191" spans="33:33" x14ac:dyDescent="0.3">
      <c r="AG191" s="84"/>
    </row>
    <row r="192" spans="33:33" x14ac:dyDescent="0.3">
      <c r="AG192" s="84"/>
    </row>
    <row r="193" spans="33:33" x14ac:dyDescent="0.3">
      <c r="AG193" s="84"/>
    </row>
    <row r="194" spans="33:33" x14ac:dyDescent="0.3">
      <c r="AG194" s="84"/>
    </row>
    <row r="195" spans="33:33" x14ac:dyDescent="0.3">
      <c r="AG195" s="84"/>
    </row>
    <row r="196" spans="33:33" x14ac:dyDescent="0.3">
      <c r="AG196" s="84"/>
    </row>
    <row r="197" spans="33:33" x14ac:dyDescent="0.3">
      <c r="AG197" s="84"/>
    </row>
    <row r="198" spans="33:33" x14ac:dyDescent="0.3">
      <c r="AG198" s="84"/>
    </row>
    <row r="199" spans="33:33" x14ac:dyDescent="0.3">
      <c r="AG199" s="84"/>
    </row>
    <row r="200" spans="33:33" x14ac:dyDescent="0.3">
      <c r="AG200" s="84"/>
    </row>
    <row r="201" spans="33:33" x14ac:dyDescent="0.3">
      <c r="AG201" s="84"/>
    </row>
    <row r="202" spans="33:33" x14ac:dyDescent="0.3">
      <c r="AG202" s="84"/>
    </row>
    <row r="203" spans="33:33" x14ac:dyDescent="0.3">
      <c r="AG203" s="84"/>
    </row>
    <row r="204" spans="33:33" x14ac:dyDescent="0.3">
      <c r="AG204" s="84"/>
    </row>
    <row r="205" spans="33:33" x14ac:dyDescent="0.3">
      <c r="AG205" s="84"/>
    </row>
    <row r="206" spans="33:33" x14ac:dyDescent="0.3">
      <c r="AG206" s="84"/>
    </row>
    <row r="207" spans="33:33" x14ac:dyDescent="0.3">
      <c r="AG207" s="84"/>
    </row>
    <row r="208" spans="33:33" x14ac:dyDescent="0.3">
      <c r="AG208" s="84"/>
    </row>
    <row r="209" spans="33:33" x14ac:dyDescent="0.3">
      <c r="AG209" s="84"/>
    </row>
    <row r="210" spans="33:33" x14ac:dyDescent="0.3">
      <c r="AG210" s="84"/>
    </row>
    <row r="211" spans="33:33" x14ac:dyDescent="0.3">
      <c r="AG211" s="84"/>
    </row>
    <row r="212" spans="33:33" x14ac:dyDescent="0.3">
      <c r="AG212" s="84"/>
    </row>
    <row r="213" spans="33:33" x14ac:dyDescent="0.3">
      <c r="AG213" s="84"/>
    </row>
    <row r="214" spans="33:33" x14ac:dyDescent="0.3">
      <c r="AG214" s="84"/>
    </row>
    <row r="215" spans="33:33" x14ac:dyDescent="0.3">
      <c r="AG215" s="84"/>
    </row>
    <row r="216" spans="33:33" x14ac:dyDescent="0.3">
      <c r="AG216" s="84"/>
    </row>
    <row r="217" spans="33:33" x14ac:dyDescent="0.3">
      <c r="AG217" s="84"/>
    </row>
    <row r="218" spans="33:33" x14ac:dyDescent="0.3">
      <c r="AG218" s="84"/>
    </row>
    <row r="219" spans="33:33" x14ac:dyDescent="0.3">
      <c r="AG219" s="84"/>
    </row>
    <row r="220" spans="33:33" x14ac:dyDescent="0.3">
      <c r="AG220" s="84"/>
    </row>
    <row r="221" spans="33:33" x14ac:dyDescent="0.3">
      <c r="AG221" s="84"/>
    </row>
    <row r="222" spans="33:33" x14ac:dyDescent="0.3">
      <c r="AG222" s="84"/>
    </row>
    <row r="223" spans="33:33" x14ac:dyDescent="0.3">
      <c r="AG223" s="84"/>
    </row>
    <row r="224" spans="33:33" x14ac:dyDescent="0.3">
      <c r="AG224" s="84"/>
    </row>
    <row r="225" spans="33:33" x14ac:dyDescent="0.3">
      <c r="AG225" s="84"/>
    </row>
    <row r="226" spans="33:33" x14ac:dyDescent="0.3">
      <c r="AG226" s="84"/>
    </row>
    <row r="227" spans="33:33" x14ac:dyDescent="0.3">
      <c r="AG227" s="84"/>
    </row>
    <row r="228" spans="33:33" x14ac:dyDescent="0.3">
      <c r="AG228" s="84"/>
    </row>
    <row r="229" spans="33:33" x14ac:dyDescent="0.3">
      <c r="AG229" s="84"/>
    </row>
    <row r="230" spans="33:33" x14ac:dyDescent="0.3">
      <c r="AG230" s="84"/>
    </row>
    <row r="231" spans="33:33" x14ac:dyDescent="0.3">
      <c r="AG231" s="84"/>
    </row>
    <row r="232" spans="33:33" x14ac:dyDescent="0.3">
      <c r="AG232" s="84"/>
    </row>
    <row r="233" spans="33:33" x14ac:dyDescent="0.3">
      <c r="AG233" s="84"/>
    </row>
    <row r="234" spans="33:33" x14ac:dyDescent="0.3">
      <c r="AG234" s="84"/>
    </row>
    <row r="235" spans="33:33" x14ac:dyDescent="0.3">
      <c r="AG235" s="84"/>
    </row>
    <row r="236" spans="33:33" x14ac:dyDescent="0.3">
      <c r="AG236" s="84"/>
    </row>
    <row r="237" spans="33:33" x14ac:dyDescent="0.3">
      <c r="AG237" s="84"/>
    </row>
    <row r="238" spans="33:33" x14ac:dyDescent="0.3">
      <c r="AG238" s="84"/>
    </row>
    <row r="239" spans="33:33" x14ac:dyDescent="0.3">
      <c r="AG239" s="84"/>
    </row>
    <row r="240" spans="33:33" x14ac:dyDescent="0.3">
      <c r="AG240" s="84"/>
    </row>
    <row r="241" spans="33:33" x14ac:dyDescent="0.3">
      <c r="AG241" s="84"/>
    </row>
    <row r="242" spans="33:33" x14ac:dyDescent="0.3">
      <c r="AG242" s="84"/>
    </row>
    <row r="243" spans="33:33" x14ac:dyDescent="0.3">
      <c r="AG243" s="84"/>
    </row>
    <row r="244" spans="33:33" x14ac:dyDescent="0.3">
      <c r="AG244" s="84"/>
    </row>
    <row r="245" spans="33:33" x14ac:dyDescent="0.3">
      <c r="AG245" s="84"/>
    </row>
    <row r="246" spans="33:33" x14ac:dyDescent="0.3">
      <c r="AG246" s="84"/>
    </row>
    <row r="247" spans="33:33" x14ac:dyDescent="0.3">
      <c r="AG247" s="84"/>
    </row>
    <row r="248" spans="33:33" x14ac:dyDescent="0.3">
      <c r="AG248" s="84"/>
    </row>
    <row r="249" spans="33:33" x14ac:dyDescent="0.3">
      <c r="AG249" s="84"/>
    </row>
    <row r="250" spans="33:33" x14ac:dyDescent="0.3">
      <c r="AG250" s="84"/>
    </row>
    <row r="251" spans="33:33" x14ac:dyDescent="0.3">
      <c r="AG251" s="84"/>
    </row>
    <row r="252" spans="33:33" x14ac:dyDescent="0.3">
      <c r="AG252" s="84"/>
    </row>
    <row r="253" spans="33:33" x14ac:dyDescent="0.3">
      <c r="AG253" s="84"/>
    </row>
    <row r="254" spans="33:33" x14ac:dyDescent="0.3">
      <c r="AG254" s="84"/>
    </row>
    <row r="255" spans="33:33" x14ac:dyDescent="0.3">
      <c r="AG255" s="84"/>
    </row>
    <row r="256" spans="33:33" x14ac:dyDescent="0.3">
      <c r="AG256" s="84"/>
    </row>
    <row r="257" spans="33:33" x14ac:dyDescent="0.3">
      <c r="AG257" s="84"/>
    </row>
    <row r="258" spans="33:33" x14ac:dyDescent="0.3">
      <c r="AG258" s="84"/>
    </row>
    <row r="259" spans="33:33" x14ac:dyDescent="0.3">
      <c r="AG259" s="84"/>
    </row>
    <row r="260" spans="33:33" x14ac:dyDescent="0.3">
      <c r="AG260" s="84"/>
    </row>
    <row r="261" spans="33:33" x14ac:dyDescent="0.3">
      <c r="AG261" s="84"/>
    </row>
    <row r="262" spans="33:33" x14ac:dyDescent="0.3">
      <c r="AG262" s="84"/>
    </row>
    <row r="263" spans="33:33" x14ac:dyDescent="0.3">
      <c r="AG263" s="84"/>
    </row>
    <row r="264" spans="33:33" x14ac:dyDescent="0.3">
      <c r="AG264" s="84"/>
    </row>
    <row r="265" spans="33:33" x14ac:dyDescent="0.3">
      <c r="AG265" s="84"/>
    </row>
    <row r="266" spans="33:33" x14ac:dyDescent="0.3">
      <c r="AG266" s="84"/>
    </row>
    <row r="267" spans="33:33" x14ac:dyDescent="0.3">
      <c r="AG267" s="84"/>
    </row>
    <row r="268" spans="33:33" x14ac:dyDescent="0.3">
      <c r="AG268" s="84"/>
    </row>
    <row r="269" spans="33:33" x14ac:dyDescent="0.3">
      <c r="AG269" s="84"/>
    </row>
    <row r="270" spans="33:33" x14ac:dyDescent="0.3">
      <c r="AG270" s="84"/>
    </row>
    <row r="271" spans="33:33" x14ac:dyDescent="0.3">
      <c r="AG271" s="84"/>
    </row>
    <row r="272" spans="33:33" x14ac:dyDescent="0.3">
      <c r="AG272" s="84"/>
    </row>
    <row r="273" spans="33:33" x14ac:dyDescent="0.3">
      <c r="AG273" s="84"/>
    </row>
    <row r="274" spans="33:33" x14ac:dyDescent="0.3">
      <c r="AG274" s="84"/>
    </row>
    <row r="275" spans="33:33" x14ac:dyDescent="0.3">
      <c r="AG275" s="84"/>
    </row>
    <row r="276" spans="33:33" x14ac:dyDescent="0.3">
      <c r="AG276" s="84"/>
    </row>
    <row r="277" spans="33:33" x14ac:dyDescent="0.3">
      <c r="AG277" s="84"/>
    </row>
    <row r="278" spans="33:33" x14ac:dyDescent="0.3">
      <c r="AG278" s="84"/>
    </row>
    <row r="279" spans="33:33" x14ac:dyDescent="0.3">
      <c r="AG279" s="84"/>
    </row>
    <row r="280" spans="33:33" x14ac:dyDescent="0.3">
      <c r="AG280" s="84"/>
    </row>
    <row r="281" spans="33:33" x14ac:dyDescent="0.3">
      <c r="AG281" s="84"/>
    </row>
    <row r="282" spans="33:33" x14ac:dyDescent="0.3">
      <c r="AG282" s="84"/>
    </row>
    <row r="283" spans="33:33" x14ac:dyDescent="0.3">
      <c r="AG283" s="84"/>
    </row>
    <row r="284" spans="33:33" x14ac:dyDescent="0.3">
      <c r="AG284" s="84"/>
    </row>
    <row r="285" spans="33:33" x14ac:dyDescent="0.3">
      <c r="AG285" s="84"/>
    </row>
    <row r="286" spans="33:33" x14ac:dyDescent="0.3">
      <c r="AG286" s="84"/>
    </row>
    <row r="287" spans="33:33" x14ac:dyDescent="0.3">
      <c r="AG287" s="84"/>
    </row>
    <row r="288" spans="33:33" x14ac:dyDescent="0.3">
      <c r="AG288" s="84"/>
    </row>
    <row r="289" spans="33:33" x14ac:dyDescent="0.3">
      <c r="AG289" s="84"/>
    </row>
    <row r="290" spans="33:33" x14ac:dyDescent="0.3">
      <c r="AG290" s="84"/>
    </row>
    <row r="291" spans="33:33" x14ac:dyDescent="0.3">
      <c r="AG291" s="84"/>
    </row>
    <row r="292" spans="33:33" x14ac:dyDescent="0.3">
      <c r="AG292" s="84"/>
    </row>
    <row r="293" spans="33:33" x14ac:dyDescent="0.3">
      <c r="AG293" s="84"/>
    </row>
    <row r="294" spans="33:33" x14ac:dyDescent="0.3">
      <c r="AG294" s="84"/>
    </row>
    <row r="295" spans="33:33" x14ac:dyDescent="0.3">
      <c r="AG295" s="84"/>
    </row>
    <row r="296" spans="33:33" x14ac:dyDescent="0.3">
      <c r="AG296" s="84"/>
    </row>
    <row r="297" spans="33:33" x14ac:dyDescent="0.3">
      <c r="AG297" s="84"/>
    </row>
    <row r="298" spans="33:33" x14ac:dyDescent="0.3">
      <c r="AG298" s="84"/>
    </row>
    <row r="299" spans="33:33" x14ac:dyDescent="0.3">
      <c r="AG299" s="84"/>
    </row>
    <row r="300" spans="33:33" x14ac:dyDescent="0.3">
      <c r="AG300" s="84"/>
    </row>
    <row r="301" spans="33:33" x14ac:dyDescent="0.3">
      <c r="AG301" s="84"/>
    </row>
    <row r="302" spans="33:33" x14ac:dyDescent="0.3">
      <c r="AG302" s="84"/>
    </row>
    <row r="303" spans="33:33" x14ac:dyDescent="0.3">
      <c r="AG303" s="84"/>
    </row>
    <row r="304" spans="33:33" x14ac:dyDescent="0.3">
      <c r="AG304" s="84"/>
    </row>
    <row r="305" spans="33:33" x14ac:dyDescent="0.3">
      <c r="AG305" s="84"/>
    </row>
    <row r="306" spans="33:33" x14ac:dyDescent="0.3">
      <c r="AG306" s="84"/>
    </row>
    <row r="307" spans="33:33" x14ac:dyDescent="0.3">
      <c r="AG307" s="84"/>
    </row>
    <row r="308" spans="33:33" x14ac:dyDescent="0.3">
      <c r="AG308" s="84"/>
    </row>
    <row r="309" spans="33:33" x14ac:dyDescent="0.3">
      <c r="AG309" s="84"/>
    </row>
    <row r="310" spans="33:33" x14ac:dyDescent="0.3">
      <c r="AG310" s="84"/>
    </row>
    <row r="311" spans="33:33" x14ac:dyDescent="0.3">
      <c r="AG311" s="84"/>
    </row>
    <row r="312" spans="33:33" x14ac:dyDescent="0.3">
      <c r="AG312" s="84"/>
    </row>
    <row r="313" spans="33:33" x14ac:dyDescent="0.3">
      <c r="AG313" s="84"/>
    </row>
    <row r="314" spans="33:33" x14ac:dyDescent="0.3">
      <c r="AG314" s="84"/>
    </row>
    <row r="315" spans="33:33" x14ac:dyDescent="0.3">
      <c r="AG315" s="84"/>
    </row>
    <row r="316" spans="33:33" x14ac:dyDescent="0.3">
      <c r="AG316" s="84"/>
    </row>
    <row r="317" spans="33:33" x14ac:dyDescent="0.3">
      <c r="AG317" s="84"/>
    </row>
    <row r="318" spans="33:33" x14ac:dyDescent="0.3">
      <c r="AG318" s="84"/>
    </row>
    <row r="319" spans="33:33" x14ac:dyDescent="0.3">
      <c r="AG319" s="84"/>
    </row>
    <row r="320" spans="33:33" x14ac:dyDescent="0.3">
      <c r="AG320" s="84"/>
    </row>
    <row r="321" spans="33:33" x14ac:dyDescent="0.3">
      <c r="AG321" s="84"/>
    </row>
    <row r="322" spans="33:33" x14ac:dyDescent="0.3">
      <c r="AG322" s="84"/>
    </row>
    <row r="323" spans="33:33" x14ac:dyDescent="0.3">
      <c r="AG323" s="84"/>
    </row>
    <row r="324" spans="33:33" x14ac:dyDescent="0.3">
      <c r="AG324" s="84"/>
    </row>
    <row r="325" spans="33:33" x14ac:dyDescent="0.3">
      <c r="AG325" s="84"/>
    </row>
    <row r="326" spans="33:33" x14ac:dyDescent="0.3">
      <c r="AG326" s="84"/>
    </row>
    <row r="327" spans="33:33" x14ac:dyDescent="0.3">
      <c r="AG327" s="84"/>
    </row>
    <row r="328" spans="33:33" x14ac:dyDescent="0.3">
      <c r="AG328" s="84"/>
    </row>
    <row r="329" spans="33:33" x14ac:dyDescent="0.3">
      <c r="AG329" s="84"/>
    </row>
    <row r="330" spans="33:33" x14ac:dyDescent="0.3">
      <c r="AG330" s="84"/>
    </row>
    <row r="331" spans="33:33" x14ac:dyDescent="0.3">
      <c r="AG331" s="84"/>
    </row>
    <row r="332" spans="33:33" x14ac:dyDescent="0.3">
      <c r="AG332" s="84"/>
    </row>
    <row r="333" spans="33:33" x14ac:dyDescent="0.3">
      <c r="AG333" s="84"/>
    </row>
    <row r="334" spans="33:33" x14ac:dyDescent="0.3">
      <c r="AG334" s="84"/>
    </row>
    <row r="335" spans="33:33" x14ac:dyDescent="0.3">
      <c r="AG335" s="84"/>
    </row>
    <row r="336" spans="33:33" x14ac:dyDescent="0.3">
      <c r="AG336" s="84"/>
    </row>
    <row r="337" spans="33:33" x14ac:dyDescent="0.3">
      <c r="AG337" s="84"/>
    </row>
    <row r="338" spans="33:33" x14ac:dyDescent="0.3">
      <c r="AG338" s="84"/>
    </row>
    <row r="339" spans="33:33" x14ac:dyDescent="0.3">
      <c r="AG339" s="84"/>
    </row>
    <row r="340" spans="33:33" x14ac:dyDescent="0.3">
      <c r="AG340" s="84"/>
    </row>
    <row r="341" spans="33:33" x14ac:dyDescent="0.3">
      <c r="AG341" s="84"/>
    </row>
    <row r="342" spans="33:33" x14ac:dyDescent="0.3">
      <c r="AG342" s="84"/>
    </row>
    <row r="343" spans="33:33" x14ac:dyDescent="0.3">
      <c r="AG343" s="84"/>
    </row>
    <row r="344" spans="33:33" x14ac:dyDescent="0.3">
      <c r="AG344" s="84"/>
    </row>
    <row r="345" spans="33:33" x14ac:dyDescent="0.3">
      <c r="AG345" s="84"/>
    </row>
    <row r="346" spans="33:33" x14ac:dyDescent="0.3">
      <c r="AG346" s="84"/>
    </row>
    <row r="347" spans="33:33" x14ac:dyDescent="0.3">
      <c r="AG347" s="84"/>
    </row>
    <row r="348" spans="33:33" x14ac:dyDescent="0.3">
      <c r="AG348" s="84"/>
    </row>
    <row r="349" spans="33:33" x14ac:dyDescent="0.3">
      <c r="AG349" s="84"/>
    </row>
    <row r="350" spans="33:33" x14ac:dyDescent="0.3">
      <c r="AG350" s="84"/>
    </row>
    <row r="351" spans="33:33" x14ac:dyDescent="0.3">
      <c r="AG351" s="84"/>
    </row>
    <row r="352" spans="33:33" x14ac:dyDescent="0.3">
      <c r="AG352" s="84"/>
    </row>
    <row r="353" spans="33:33" x14ac:dyDescent="0.3">
      <c r="AG353" s="84"/>
    </row>
    <row r="354" spans="33:33" x14ac:dyDescent="0.3">
      <c r="AG354" s="84"/>
    </row>
    <row r="355" spans="33:33" x14ac:dyDescent="0.3">
      <c r="AG355" s="84"/>
    </row>
    <row r="356" spans="33:33" x14ac:dyDescent="0.3">
      <c r="AG356" s="84"/>
    </row>
    <row r="357" spans="33:33" x14ac:dyDescent="0.3">
      <c r="AG357" s="84"/>
    </row>
    <row r="358" spans="33:33" x14ac:dyDescent="0.3">
      <c r="AG358" s="84"/>
    </row>
    <row r="359" spans="33:33" x14ac:dyDescent="0.3">
      <c r="AG359" s="84"/>
    </row>
    <row r="360" spans="33:33" x14ac:dyDescent="0.3">
      <c r="AG360" s="84"/>
    </row>
    <row r="361" spans="33:33" x14ac:dyDescent="0.3">
      <c r="AG361" s="84"/>
    </row>
    <row r="362" spans="33:33" x14ac:dyDescent="0.3">
      <c r="AG362" s="84"/>
    </row>
    <row r="363" spans="33:33" x14ac:dyDescent="0.3">
      <c r="AG363" s="84"/>
    </row>
    <row r="364" spans="33:33" x14ac:dyDescent="0.3">
      <c r="AG364" s="84"/>
    </row>
    <row r="365" spans="33:33" x14ac:dyDescent="0.3">
      <c r="AG365" s="84"/>
    </row>
    <row r="366" spans="33:33" x14ac:dyDescent="0.3">
      <c r="AG366" s="84"/>
    </row>
    <row r="367" spans="33:33" x14ac:dyDescent="0.3">
      <c r="AG367" s="84"/>
    </row>
    <row r="368" spans="33:33" x14ac:dyDescent="0.3">
      <c r="AG368" s="84"/>
    </row>
    <row r="369" spans="33:33" x14ac:dyDescent="0.3">
      <c r="AG369" s="84"/>
    </row>
    <row r="370" spans="33:33" x14ac:dyDescent="0.3">
      <c r="AG370" s="84"/>
    </row>
    <row r="371" spans="33:33" x14ac:dyDescent="0.3">
      <c r="AG371" s="84"/>
    </row>
    <row r="372" spans="33:33" x14ac:dyDescent="0.3">
      <c r="AG372" s="84"/>
    </row>
    <row r="373" spans="33:33" x14ac:dyDescent="0.3">
      <c r="AG373" s="84"/>
    </row>
    <row r="374" spans="33:33" x14ac:dyDescent="0.3">
      <c r="AG374" s="84"/>
    </row>
    <row r="375" spans="33:33" x14ac:dyDescent="0.3">
      <c r="AG375" s="84"/>
    </row>
    <row r="376" spans="33:33" x14ac:dyDescent="0.3">
      <c r="AG376" s="84"/>
    </row>
    <row r="377" spans="33:33" x14ac:dyDescent="0.3">
      <c r="AG377" s="84"/>
    </row>
    <row r="378" spans="33:33" x14ac:dyDescent="0.3">
      <c r="AG378" s="84"/>
    </row>
    <row r="379" spans="33:33" x14ac:dyDescent="0.3">
      <c r="AG379" s="84"/>
    </row>
    <row r="380" spans="33:33" x14ac:dyDescent="0.3">
      <c r="AG380" s="84"/>
    </row>
    <row r="381" spans="33:33" x14ac:dyDescent="0.3">
      <c r="AG381" s="84"/>
    </row>
    <row r="382" spans="33:33" x14ac:dyDescent="0.3">
      <c r="AG382" s="84"/>
    </row>
    <row r="383" spans="33:33" x14ac:dyDescent="0.3">
      <c r="AG383" s="84"/>
    </row>
    <row r="384" spans="33:33" x14ac:dyDescent="0.3">
      <c r="AG384" s="84"/>
    </row>
    <row r="385" spans="33:33" x14ac:dyDescent="0.3">
      <c r="AG385" s="84"/>
    </row>
    <row r="386" spans="33:33" x14ac:dyDescent="0.3">
      <c r="AG386" s="84"/>
    </row>
    <row r="387" spans="33:33" x14ac:dyDescent="0.3">
      <c r="AG387" s="84"/>
    </row>
    <row r="388" spans="33:33" x14ac:dyDescent="0.3">
      <c r="AG388" s="84"/>
    </row>
    <row r="389" spans="33:33" x14ac:dyDescent="0.3">
      <c r="AG389" s="84"/>
    </row>
    <row r="390" spans="33:33" x14ac:dyDescent="0.3">
      <c r="AG390" s="84"/>
    </row>
    <row r="391" spans="33:33" x14ac:dyDescent="0.3">
      <c r="AG391" s="84"/>
    </row>
    <row r="392" spans="33:33" x14ac:dyDescent="0.3">
      <c r="AG392" s="84"/>
    </row>
    <row r="393" spans="33:33" x14ac:dyDescent="0.3">
      <c r="AG393" s="84"/>
    </row>
    <row r="394" spans="33:33" x14ac:dyDescent="0.3">
      <c r="AG394" s="84"/>
    </row>
    <row r="395" spans="33:33" x14ac:dyDescent="0.3">
      <c r="AG395" s="84"/>
    </row>
    <row r="396" spans="33:33" x14ac:dyDescent="0.3">
      <c r="AG396" s="84"/>
    </row>
    <row r="397" spans="33:33" x14ac:dyDescent="0.3">
      <c r="AG397" s="84"/>
    </row>
    <row r="398" spans="33:33" x14ac:dyDescent="0.3">
      <c r="AG398" s="84"/>
    </row>
    <row r="399" spans="33:33" x14ac:dyDescent="0.3">
      <c r="AG399" s="84"/>
    </row>
    <row r="400" spans="33:33" x14ac:dyDescent="0.3">
      <c r="AG400" s="84"/>
    </row>
    <row r="401" spans="33:33" x14ac:dyDescent="0.3">
      <c r="AG401" s="84"/>
    </row>
    <row r="402" spans="33:33" x14ac:dyDescent="0.3">
      <c r="AG402" s="84"/>
    </row>
    <row r="403" spans="33:33" x14ac:dyDescent="0.3">
      <c r="AG403" s="84"/>
    </row>
    <row r="404" spans="33:33" x14ac:dyDescent="0.3">
      <c r="AG404" s="84"/>
    </row>
    <row r="405" spans="33:33" x14ac:dyDescent="0.3">
      <c r="AG405" s="84"/>
    </row>
    <row r="406" spans="33:33" x14ac:dyDescent="0.3">
      <c r="AG406" s="84"/>
    </row>
    <row r="407" spans="33:33" x14ac:dyDescent="0.3">
      <c r="AG407" s="84"/>
    </row>
    <row r="408" spans="33:33" x14ac:dyDescent="0.3">
      <c r="AG408" s="84"/>
    </row>
    <row r="409" spans="33:33" x14ac:dyDescent="0.3">
      <c r="AG409" s="84"/>
    </row>
    <row r="410" spans="33:33" x14ac:dyDescent="0.3">
      <c r="AG410" s="84"/>
    </row>
    <row r="411" spans="33:33" x14ac:dyDescent="0.3">
      <c r="AG411" s="84"/>
    </row>
    <row r="412" spans="33:33" x14ac:dyDescent="0.3">
      <c r="AG412" s="84"/>
    </row>
    <row r="413" spans="33:33" x14ac:dyDescent="0.3">
      <c r="AG413" s="84"/>
    </row>
    <row r="414" spans="33:33" x14ac:dyDescent="0.3">
      <c r="AG414" s="84"/>
    </row>
    <row r="415" spans="33:33" x14ac:dyDescent="0.3">
      <c r="AG415" s="84"/>
    </row>
    <row r="416" spans="33:33" x14ac:dyDescent="0.3">
      <c r="AG416" s="84"/>
    </row>
    <row r="417" spans="33:33" x14ac:dyDescent="0.3">
      <c r="AG417" s="84"/>
    </row>
    <row r="418" spans="33:33" x14ac:dyDescent="0.3">
      <c r="AG418" s="84"/>
    </row>
    <row r="419" spans="33:33" x14ac:dyDescent="0.3">
      <c r="AG419" s="84"/>
    </row>
    <row r="420" spans="33:33" x14ac:dyDescent="0.3">
      <c r="AG420" s="84"/>
    </row>
    <row r="421" spans="33:33" x14ac:dyDescent="0.3">
      <c r="AG421" s="84"/>
    </row>
    <row r="422" spans="33:33" x14ac:dyDescent="0.3">
      <c r="AG422" s="84"/>
    </row>
    <row r="423" spans="33:33" x14ac:dyDescent="0.3">
      <c r="AG423" s="84"/>
    </row>
    <row r="424" spans="33:33" x14ac:dyDescent="0.3">
      <c r="AG424" s="84"/>
    </row>
    <row r="425" spans="33:33" x14ac:dyDescent="0.3">
      <c r="AG425" s="84"/>
    </row>
    <row r="426" spans="33:33" x14ac:dyDescent="0.3">
      <c r="AG426" s="84"/>
    </row>
    <row r="427" spans="33:33" x14ac:dyDescent="0.3">
      <c r="AG427" s="84"/>
    </row>
    <row r="428" spans="33:33" x14ac:dyDescent="0.3">
      <c r="AG428" s="84"/>
    </row>
    <row r="429" spans="33:33" x14ac:dyDescent="0.3">
      <c r="AG429" s="84"/>
    </row>
    <row r="430" spans="33:33" x14ac:dyDescent="0.3">
      <c r="AG430" s="84"/>
    </row>
    <row r="431" spans="33:33" x14ac:dyDescent="0.3">
      <c r="AG431" s="84"/>
    </row>
    <row r="432" spans="33:33" x14ac:dyDescent="0.3">
      <c r="AG432" s="84"/>
    </row>
    <row r="433" spans="33:33" x14ac:dyDescent="0.3">
      <c r="AG433" s="84"/>
    </row>
    <row r="434" spans="33:33" x14ac:dyDescent="0.3">
      <c r="AG434" s="84"/>
    </row>
    <row r="435" spans="33:33" x14ac:dyDescent="0.3">
      <c r="AG435" s="84"/>
    </row>
    <row r="436" spans="33:33" x14ac:dyDescent="0.3">
      <c r="AG436" s="84"/>
    </row>
    <row r="437" spans="33:33" x14ac:dyDescent="0.3">
      <c r="AG437" s="84"/>
    </row>
    <row r="438" spans="33:33" x14ac:dyDescent="0.3">
      <c r="AG438" s="84"/>
    </row>
    <row r="439" spans="33:33" x14ac:dyDescent="0.3">
      <c r="AG439" s="84"/>
    </row>
    <row r="440" spans="33:33" x14ac:dyDescent="0.3">
      <c r="AG440" s="84"/>
    </row>
    <row r="441" spans="33:33" x14ac:dyDescent="0.3">
      <c r="AG441" s="84"/>
    </row>
    <row r="442" spans="33:33" x14ac:dyDescent="0.3">
      <c r="AG442" s="84"/>
    </row>
    <row r="443" spans="33:33" x14ac:dyDescent="0.3">
      <c r="AG443" s="84"/>
    </row>
    <row r="444" spans="33:33" x14ac:dyDescent="0.3">
      <c r="AG444" s="84"/>
    </row>
    <row r="445" spans="33:33" x14ac:dyDescent="0.3">
      <c r="AG445" s="84"/>
    </row>
    <row r="446" spans="33:33" x14ac:dyDescent="0.3">
      <c r="AG446" s="84"/>
    </row>
    <row r="447" spans="33:33" x14ac:dyDescent="0.3">
      <c r="AG447" s="84"/>
    </row>
    <row r="448" spans="33:33" x14ac:dyDescent="0.3">
      <c r="AG448" s="84"/>
    </row>
    <row r="449" spans="33:33" x14ac:dyDescent="0.3">
      <c r="AG449" s="84"/>
    </row>
    <row r="450" spans="33:33" x14ac:dyDescent="0.3">
      <c r="AG450" s="84"/>
    </row>
    <row r="451" spans="33:33" x14ac:dyDescent="0.3">
      <c r="AG451" s="84"/>
    </row>
    <row r="452" spans="33:33" x14ac:dyDescent="0.3">
      <c r="AG452" s="84"/>
    </row>
    <row r="453" spans="33:33" x14ac:dyDescent="0.3">
      <c r="AG453" s="84"/>
    </row>
    <row r="454" spans="33:33" x14ac:dyDescent="0.3">
      <c r="AG454" s="84"/>
    </row>
    <row r="455" spans="33:33" x14ac:dyDescent="0.3">
      <c r="AG455" s="84"/>
    </row>
    <row r="456" spans="33:33" x14ac:dyDescent="0.3">
      <c r="AG456" s="84"/>
    </row>
    <row r="457" spans="33:33" x14ac:dyDescent="0.3">
      <c r="AG457" s="84"/>
    </row>
    <row r="458" spans="33:33" x14ac:dyDescent="0.3">
      <c r="AG458" s="84"/>
    </row>
    <row r="459" spans="33:33" x14ac:dyDescent="0.3">
      <c r="AG459" s="84"/>
    </row>
    <row r="460" spans="33:33" x14ac:dyDescent="0.3">
      <c r="AG460" s="84"/>
    </row>
    <row r="461" spans="33:33" x14ac:dyDescent="0.3">
      <c r="AG461" s="84"/>
    </row>
    <row r="462" spans="33:33" x14ac:dyDescent="0.3">
      <c r="AG462" s="84"/>
    </row>
    <row r="463" spans="33:33" x14ac:dyDescent="0.3">
      <c r="AG463" s="84"/>
    </row>
    <row r="464" spans="33:33" x14ac:dyDescent="0.3">
      <c r="AG464" s="84"/>
    </row>
    <row r="465" spans="33:33" x14ac:dyDescent="0.3">
      <c r="AG465" s="84"/>
    </row>
    <row r="466" spans="33:33" x14ac:dyDescent="0.3">
      <c r="AG466" s="84"/>
    </row>
    <row r="467" spans="33:33" x14ac:dyDescent="0.3">
      <c r="AG467" s="84"/>
    </row>
    <row r="468" spans="33:33" x14ac:dyDescent="0.3">
      <c r="AG468" s="84"/>
    </row>
    <row r="469" spans="33:33" x14ac:dyDescent="0.3">
      <c r="AG469" s="84"/>
    </row>
    <row r="470" spans="33:33" x14ac:dyDescent="0.3">
      <c r="AG470" s="84"/>
    </row>
    <row r="471" spans="33:33" x14ac:dyDescent="0.3">
      <c r="AG471" s="84"/>
    </row>
    <row r="472" spans="33:33" x14ac:dyDescent="0.3">
      <c r="AG472" s="84"/>
    </row>
    <row r="473" spans="33:33" x14ac:dyDescent="0.3">
      <c r="AG473" s="84"/>
    </row>
    <row r="474" spans="33:33" x14ac:dyDescent="0.3">
      <c r="AG474" s="84"/>
    </row>
    <row r="475" spans="33:33" x14ac:dyDescent="0.3">
      <c r="AG475" s="84"/>
    </row>
    <row r="476" spans="33:33" x14ac:dyDescent="0.3">
      <c r="AG476" s="84"/>
    </row>
    <row r="477" spans="33:33" x14ac:dyDescent="0.3">
      <c r="AG477" s="84"/>
    </row>
    <row r="478" spans="33:33" x14ac:dyDescent="0.3">
      <c r="AG478" s="84"/>
    </row>
    <row r="479" spans="33:33" x14ac:dyDescent="0.3">
      <c r="AG479" s="84"/>
    </row>
    <row r="480" spans="33:33" x14ac:dyDescent="0.3">
      <c r="AG480" s="84"/>
    </row>
    <row r="481" spans="33:33" x14ac:dyDescent="0.3">
      <c r="AG481" s="84"/>
    </row>
    <row r="482" spans="33:33" x14ac:dyDescent="0.3">
      <c r="AG482" s="84"/>
    </row>
    <row r="483" spans="33:33" x14ac:dyDescent="0.3">
      <c r="AG483" s="84"/>
    </row>
    <row r="484" spans="33:33" x14ac:dyDescent="0.3">
      <c r="AG484" s="84"/>
    </row>
    <row r="485" spans="33:33" x14ac:dyDescent="0.3">
      <c r="AG485" s="84"/>
    </row>
    <row r="486" spans="33:33" x14ac:dyDescent="0.3">
      <c r="AG486" s="84"/>
    </row>
    <row r="487" spans="33:33" x14ac:dyDescent="0.3">
      <c r="AG487" s="84"/>
    </row>
    <row r="488" spans="33:33" x14ac:dyDescent="0.3">
      <c r="AG488" s="84"/>
    </row>
    <row r="489" spans="33:33" x14ac:dyDescent="0.3">
      <c r="AG489" s="84"/>
    </row>
    <row r="490" spans="33:33" x14ac:dyDescent="0.3">
      <c r="AG490" s="84"/>
    </row>
    <row r="491" spans="33:33" x14ac:dyDescent="0.3">
      <c r="AG491" s="84"/>
    </row>
    <row r="492" spans="33:33" x14ac:dyDescent="0.3">
      <c r="AG492" s="84"/>
    </row>
    <row r="493" spans="33:33" x14ac:dyDescent="0.3">
      <c r="AG493" s="84"/>
    </row>
    <row r="494" spans="33:33" x14ac:dyDescent="0.3">
      <c r="AG494" s="84"/>
    </row>
    <row r="495" spans="33:33" x14ac:dyDescent="0.3">
      <c r="AG495" s="84"/>
    </row>
    <row r="496" spans="33:33" x14ac:dyDescent="0.3">
      <c r="AG496" s="84"/>
    </row>
    <row r="497" spans="33:33" x14ac:dyDescent="0.3">
      <c r="AG497" s="84"/>
    </row>
    <row r="498" spans="33:33" x14ac:dyDescent="0.3">
      <c r="AG498" s="84"/>
    </row>
    <row r="499" spans="33:33" x14ac:dyDescent="0.3">
      <c r="AG499" s="84"/>
    </row>
    <row r="500" spans="33:33" x14ac:dyDescent="0.3">
      <c r="AG500" s="84"/>
    </row>
    <row r="501" spans="33:33" x14ac:dyDescent="0.3">
      <c r="AG501" s="84"/>
    </row>
    <row r="502" spans="33:33" x14ac:dyDescent="0.3">
      <c r="AG502" s="84"/>
    </row>
    <row r="503" spans="33:33" x14ac:dyDescent="0.3">
      <c r="AG503" s="84"/>
    </row>
    <row r="504" spans="33:33" x14ac:dyDescent="0.3">
      <c r="AG504" s="84"/>
    </row>
    <row r="505" spans="33:33" x14ac:dyDescent="0.3">
      <c r="AG505" s="84"/>
    </row>
    <row r="506" spans="33:33" x14ac:dyDescent="0.3">
      <c r="AG506" s="84"/>
    </row>
    <row r="507" spans="33:33" x14ac:dyDescent="0.3">
      <c r="AG507" s="84"/>
    </row>
    <row r="508" spans="33:33" x14ac:dyDescent="0.3">
      <c r="AG508" s="84"/>
    </row>
    <row r="509" spans="33:33" x14ac:dyDescent="0.3">
      <c r="AG509" s="84"/>
    </row>
    <row r="510" spans="33:33" x14ac:dyDescent="0.3">
      <c r="AG510" s="84"/>
    </row>
    <row r="511" spans="33:33" x14ac:dyDescent="0.3">
      <c r="AG511" s="84"/>
    </row>
    <row r="512" spans="33:33" x14ac:dyDescent="0.3">
      <c r="AG512" s="84"/>
    </row>
    <row r="513" spans="33:33" x14ac:dyDescent="0.3">
      <c r="AG513" s="84"/>
    </row>
    <row r="514" spans="33:33" x14ac:dyDescent="0.3">
      <c r="AG514" s="84"/>
    </row>
    <row r="515" spans="33:33" x14ac:dyDescent="0.3">
      <c r="AG515" s="84"/>
    </row>
    <row r="516" spans="33:33" x14ac:dyDescent="0.3">
      <c r="AG516" s="84"/>
    </row>
    <row r="517" spans="33:33" x14ac:dyDescent="0.3">
      <c r="AG517" s="84"/>
    </row>
    <row r="518" spans="33:33" x14ac:dyDescent="0.3">
      <c r="AG518" s="84"/>
    </row>
    <row r="519" spans="33:33" x14ac:dyDescent="0.3">
      <c r="AG519" s="84"/>
    </row>
    <row r="520" spans="33:33" x14ac:dyDescent="0.3">
      <c r="AG520" s="84"/>
    </row>
    <row r="521" spans="33:33" x14ac:dyDescent="0.3">
      <c r="AG521" s="84"/>
    </row>
    <row r="522" spans="33:33" x14ac:dyDescent="0.3">
      <c r="AG522" s="84"/>
    </row>
    <row r="523" spans="33:33" x14ac:dyDescent="0.3">
      <c r="AG523" s="84"/>
    </row>
    <row r="524" spans="33:33" x14ac:dyDescent="0.3">
      <c r="AG524" s="84"/>
    </row>
    <row r="525" spans="33:33" x14ac:dyDescent="0.3">
      <c r="AG525" s="84"/>
    </row>
    <row r="526" spans="33:33" x14ac:dyDescent="0.3">
      <c r="AG526" s="84"/>
    </row>
    <row r="527" spans="33:33" x14ac:dyDescent="0.3">
      <c r="AG527" s="84"/>
    </row>
    <row r="528" spans="33:33" x14ac:dyDescent="0.3">
      <c r="AG528" s="84"/>
    </row>
    <row r="529" spans="33:33" x14ac:dyDescent="0.3">
      <c r="AG529" s="84"/>
    </row>
    <row r="530" spans="33:33" x14ac:dyDescent="0.3">
      <c r="AG530" s="84"/>
    </row>
    <row r="531" spans="33:33" x14ac:dyDescent="0.3">
      <c r="AG531" s="84"/>
    </row>
    <row r="532" spans="33:33" x14ac:dyDescent="0.3">
      <c r="AG532" s="84"/>
    </row>
    <row r="533" spans="33:33" x14ac:dyDescent="0.3">
      <c r="AG533" s="84"/>
    </row>
    <row r="534" spans="33:33" x14ac:dyDescent="0.3">
      <c r="AG534" s="84"/>
    </row>
    <row r="535" spans="33:33" x14ac:dyDescent="0.3">
      <c r="AG535" s="84"/>
    </row>
    <row r="536" spans="33:33" x14ac:dyDescent="0.3">
      <c r="AG536" s="84"/>
    </row>
    <row r="537" spans="33:33" x14ac:dyDescent="0.3">
      <c r="AG537" s="84"/>
    </row>
    <row r="538" spans="33:33" x14ac:dyDescent="0.3">
      <c r="AG538" s="84"/>
    </row>
    <row r="539" spans="33:33" x14ac:dyDescent="0.3">
      <c r="AG539" s="84"/>
    </row>
    <row r="540" spans="33:33" x14ac:dyDescent="0.3">
      <c r="AG540" s="84"/>
    </row>
    <row r="541" spans="33:33" x14ac:dyDescent="0.3">
      <c r="AG541" s="84"/>
    </row>
    <row r="542" spans="33:33" x14ac:dyDescent="0.3">
      <c r="AG542" s="84"/>
    </row>
    <row r="543" spans="33:33" x14ac:dyDescent="0.3">
      <c r="AG543" s="84"/>
    </row>
    <row r="544" spans="33:33" x14ac:dyDescent="0.3">
      <c r="AG544" s="84"/>
    </row>
    <row r="545" spans="33:33" x14ac:dyDescent="0.3">
      <c r="AG545" s="84"/>
    </row>
    <row r="546" spans="33:33" x14ac:dyDescent="0.3">
      <c r="AG546" s="84"/>
    </row>
    <row r="547" spans="33:33" x14ac:dyDescent="0.3">
      <c r="AG547" s="84"/>
    </row>
    <row r="548" spans="33:33" x14ac:dyDescent="0.3">
      <c r="AG548" s="84"/>
    </row>
    <row r="549" spans="33:33" x14ac:dyDescent="0.3">
      <c r="AG549" s="84"/>
    </row>
    <row r="550" spans="33:33" x14ac:dyDescent="0.3">
      <c r="AG550" s="84"/>
    </row>
    <row r="551" spans="33:33" x14ac:dyDescent="0.3">
      <c r="AG551" s="84"/>
    </row>
    <row r="552" spans="33:33" x14ac:dyDescent="0.3">
      <c r="AG552" s="84"/>
    </row>
    <row r="553" spans="33:33" x14ac:dyDescent="0.3">
      <c r="AG553" s="84"/>
    </row>
    <row r="554" spans="33:33" x14ac:dyDescent="0.3">
      <c r="AG554" s="84"/>
    </row>
    <row r="555" spans="33:33" x14ac:dyDescent="0.3">
      <c r="AG555" s="84"/>
    </row>
    <row r="556" spans="33:33" x14ac:dyDescent="0.3">
      <c r="AG556" s="84"/>
    </row>
    <row r="557" spans="33:33" x14ac:dyDescent="0.3">
      <c r="AG557" s="84"/>
    </row>
    <row r="558" spans="33:33" x14ac:dyDescent="0.3">
      <c r="AG558" s="84"/>
    </row>
    <row r="559" spans="33:33" x14ac:dyDescent="0.3">
      <c r="AG559" s="84"/>
    </row>
    <row r="560" spans="33:33" x14ac:dyDescent="0.3">
      <c r="AG560" s="84"/>
    </row>
    <row r="561" spans="33:33" x14ac:dyDescent="0.3">
      <c r="AG561" s="84"/>
    </row>
    <row r="562" spans="33:33" x14ac:dyDescent="0.3">
      <c r="AG562" s="84"/>
    </row>
    <row r="563" spans="33:33" x14ac:dyDescent="0.3">
      <c r="AG563" s="84"/>
    </row>
    <row r="564" spans="33:33" x14ac:dyDescent="0.3">
      <c r="AG564" s="84"/>
    </row>
    <row r="565" spans="33:33" x14ac:dyDescent="0.3">
      <c r="AG565" s="84"/>
    </row>
    <row r="566" spans="33:33" x14ac:dyDescent="0.3">
      <c r="AG566" s="84"/>
    </row>
    <row r="567" spans="33:33" x14ac:dyDescent="0.3">
      <c r="AG567" s="84"/>
    </row>
    <row r="568" spans="33:33" x14ac:dyDescent="0.3">
      <c r="AG568" s="84"/>
    </row>
    <row r="569" spans="33:33" x14ac:dyDescent="0.3">
      <c r="AG569" s="84"/>
    </row>
    <row r="570" spans="33:33" x14ac:dyDescent="0.3">
      <c r="AG570" s="84"/>
    </row>
    <row r="571" spans="33:33" x14ac:dyDescent="0.3">
      <c r="AG571" s="84"/>
    </row>
    <row r="572" spans="33:33" x14ac:dyDescent="0.3">
      <c r="AG572" s="84"/>
    </row>
    <row r="573" spans="33:33" x14ac:dyDescent="0.3">
      <c r="AG573" s="84"/>
    </row>
    <row r="574" spans="33:33" x14ac:dyDescent="0.3">
      <c r="AG574" s="84"/>
    </row>
    <row r="575" spans="33:33" x14ac:dyDescent="0.3">
      <c r="AG575" s="84"/>
    </row>
    <row r="576" spans="33:33" x14ac:dyDescent="0.3">
      <c r="AG576" s="84"/>
    </row>
    <row r="577" spans="33:33" x14ac:dyDescent="0.3">
      <c r="AG577" s="84"/>
    </row>
    <row r="578" spans="33:33" x14ac:dyDescent="0.3">
      <c r="AG578" s="84"/>
    </row>
    <row r="579" spans="33:33" x14ac:dyDescent="0.3">
      <c r="AG579" s="84"/>
    </row>
    <row r="580" spans="33:33" x14ac:dyDescent="0.3">
      <c r="AG580" s="84"/>
    </row>
    <row r="581" spans="33:33" x14ac:dyDescent="0.3">
      <c r="AG581" s="84"/>
    </row>
    <row r="582" spans="33:33" x14ac:dyDescent="0.3">
      <c r="AG582" s="84"/>
    </row>
    <row r="583" spans="33:33" x14ac:dyDescent="0.3">
      <c r="AG583" s="84"/>
    </row>
    <row r="584" spans="33:33" x14ac:dyDescent="0.3">
      <c r="AG584" s="84"/>
    </row>
    <row r="585" spans="33:33" x14ac:dyDescent="0.3">
      <c r="AG585" s="84"/>
    </row>
    <row r="586" spans="33:33" x14ac:dyDescent="0.3">
      <c r="AG586" s="84"/>
    </row>
    <row r="587" spans="33:33" x14ac:dyDescent="0.3">
      <c r="AG587" s="84"/>
    </row>
    <row r="588" spans="33:33" x14ac:dyDescent="0.3">
      <c r="AG588" s="84"/>
    </row>
    <row r="589" spans="33:33" x14ac:dyDescent="0.3">
      <c r="AG589" s="84"/>
    </row>
    <row r="590" spans="33:33" x14ac:dyDescent="0.3">
      <c r="AG590" s="84"/>
    </row>
    <row r="591" spans="33:33" x14ac:dyDescent="0.3">
      <c r="AG591" s="84"/>
    </row>
    <row r="592" spans="33:33" x14ac:dyDescent="0.3">
      <c r="AG592" s="84"/>
    </row>
    <row r="593" spans="33:33" x14ac:dyDescent="0.3">
      <c r="AG593" s="84"/>
    </row>
    <row r="594" spans="33:33" x14ac:dyDescent="0.3">
      <c r="AG594" s="84"/>
    </row>
    <row r="595" spans="33:33" x14ac:dyDescent="0.3">
      <c r="AG595" s="84"/>
    </row>
    <row r="596" spans="33:33" x14ac:dyDescent="0.3">
      <c r="AG596" s="84"/>
    </row>
    <row r="597" spans="33:33" x14ac:dyDescent="0.3">
      <c r="AG597" s="84"/>
    </row>
    <row r="598" spans="33:33" x14ac:dyDescent="0.3">
      <c r="AG598" s="84"/>
    </row>
    <row r="599" spans="33:33" x14ac:dyDescent="0.3">
      <c r="AG599" s="84"/>
    </row>
    <row r="600" spans="33:33" x14ac:dyDescent="0.3">
      <c r="AG600" s="84"/>
    </row>
    <row r="601" spans="33:33" x14ac:dyDescent="0.3">
      <c r="AG601" s="84"/>
    </row>
    <row r="602" spans="33:33" x14ac:dyDescent="0.3">
      <c r="AG602" s="84"/>
    </row>
    <row r="603" spans="33:33" x14ac:dyDescent="0.3">
      <c r="AG603" s="84"/>
    </row>
    <row r="604" spans="33:33" x14ac:dyDescent="0.3">
      <c r="AG604" s="84"/>
    </row>
    <row r="605" spans="33:33" x14ac:dyDescent="0.3">
      <c r="AG605" s="84"/>
    </row>
    <row r="606" spans="33:33" x14ac:dyDescent="0.3">
      <c r="AG606" s="84"/>
    </row>
    <row r="607" spans="33:33" x14ac:dyDescent="0.3">
      <c r="AG607" s="84"/>
    </row>
    <row r="608" spans="33:33" x14ac:dyDescent="0.3">
      <c r="AG608" s="84"/>
    </row>
    <row r="609" spans="33:33" x14ac:dyDescent="0.3">
      <c r="AG609" s="84"/>
    </row>
    <row r="610" spans="33:33" x14ac:dyDescent="0.3">
      <c r="AG610" s="84"/>
    </row>
    <row r="611" spans="33:33" x14ac:dyDescent="0.3">
      <c r="AG611" s="84"/>
    </row>
    <row r="612" spans="33:33" x14ac:dyDescent="0.3">
      <c r="AG612" s="84"/>
    </row>
    <row r="613" spans="33:33" x14ac:dyDescent="0.3">
      <c r="AG613" s="84"/>
    </row>
    <row r="614" spans="33:33" x14ac:dyDescent="0.3">
      <c r="AG614" s="84"/>
    </row>
    <row r="615" spans="33:33" x14ac:dyDescent="0.3">
      <c r="AG615" s="84"/>
    </row>
    <row r="616" spans="33:33" x14ac:dyDescent="0.3">
      <c r="AG616" s="84"/>
    </row>
    <row r="617" spans="33:33" x14ac:dyDescent="0.3">
      <c r="AG617" s="84"/>
    </row>
    <row r="618" spans="33:33" x14ac:dyDescent="0.3">
      <c r="AG618" s="84"/>
    </row>
    <row r="619" spans="33:33" x14ac:dyDescent="0.3">
      <c r="AG619" s="84"/>
    </row>
    <row r="620" spans="33:33" x14ac:dyDescent="0.3">
      <c r="AG620" s="84"/>
    </row>
    <row r="621" spans="33:33" x14ac:dyDescent="0.3">
      <c r="AG621" s="84"/>
    </row>
    <row r="622" spans="33:33" x14ac:dyDescent="0.3">
      <c r="AG622" s="84"/>
    </row>
    <row r="623" spans="33:33" x14ac:dyDescent="0.3">
      <c r="AG623" s="84"/>
    </row>
    <row r="624" spans="33:33" x14ac:dyDescent="0.3">
      <c r="AG624" s="84"/>
    </row>
    <row r="625" spans="33:33" x14ac:dyDescent="0.3">
      <c r="AG625" s="84"/>
    </row>
    <row r="626" spans="33:33" x14ac:dyDescent="0.3">
      <c r="AG626" s="84"/>
    </row>
    <row r="627" spans="33:33" x14ac:dyDescent="0.3">
      <c r="AG627" s="84"/>
    </row>
    <row r="628" spans="33:33" x14ac:dyDescent="0.3">
      <c r="AG628" s="84"/>
    </row>
    <row r="629" spans="33:33" x14ac:dyDescent="0.3">
      <c r="AG629" s="84"/>
    </row>
    <row r="630" spans="33:33" x14ac:dyDescent="0.3">
      <c r="AG630" s="84"/>
    </row>
    <row r="631" spans="33:33" x14ac:dyDescent="0.3">
      <c r="AG631" s="84"/>
    </row>
    <row r="632" spans="33:33" x14ac:dyDescent="0.3">
      <c r="AG632" s="84"/>
    </row>
    <row r="633" spans="33:33" x14ac:dyDescent="0.3">
      <c r="AG633" s="84"/>
    </row>
    <row r="634" spans="33:33" x14ac:dyDescent="0.3">
      <c r="AG634" s="84"/>
    </row>
    <row r="635" spans="33:33" x14ac:dyDescent="0.3">
      <c r="AG635" s="84"/>
    </row>
    <row r="636" spans="33:33" x14ac:dyDescent="0.3">
      <c r="AG636" s="84"/>
    </row>
    <row r="637" spans="33:33" x14ac:dyDescent="0.3">
      <c r="AG637" s="84"/>
    </row>
    <row r="638" spans="33:33" x14ac:dyDescent="0.3">
      <c r="AG638" s="84"/>
    </row>
    <row r="639" spans="33:33" x14ac:dyDescent="0.3">
      <c r="AG639" s="84"/>
    </row>
    <row r="640" spans="33:33" x14ac:dyDescent="0.3">
      <c r="AG640" s="84"/>
    </row>
    <row r="641" spans="33:33" x14ac:dyDescent="0.3">
      <c r="AG641" s="84"/>
    </row>
    <row r="642" spans="33:33" x14ac:dyDescent="0.3">
      <c r="AG642" s="84"/>
    </row>
    <row r="643" spans="33:33" x14ac:dyDescent="0.3">
      <c r="AG643" s="84"/>
    </row>
    <row r="644" spans="33:33" x14ac:dyDescent="0.3">
      <c r="AG644" s="84"/>
    </row>
    <row r="645" spans="33:33" x14ac:dyDescent="0.3">
      <c r="AG645" s="84"/>
    </row>
    <row r="646" spans="33:33" x14ac:dyDescent="0.3">
      <c r="AG646" s="84"/>
    </row>
    <row r="647" spans="33:33" x14ac:dyDescent="0.3">
      <c r="AG647" s="84"/>
    </row>
    <row r="648" spans="33:33" x14ac:dyDescent="0.3">
      <c r="AG648" s="84"/>
    </row>
    <row r="649" spans="33:33" x14ac:dyDescent="0.3">
      <c r="AG649" s="84"/>
    </row>
    <row r="650" spans="33:33" x14ac:dyDescent="0.3">
      <c r="AG650" s="84"/>
    </row>
    <row r="651" spans="33:33" x14ac:dyDescent="0.3">
      <c r="AG651" s="84"/>
    </row>
    <row r="652" spans="33:33" x14ac:dyDescent="0.3">
      <c r="AG652" s="84"/>
    </row>
    <row r="653" spans="33:33" x14ac:dyDescent="0.3">
      <c r="AG653" s="84"/>
    </row>
    <row r="654" spans="33:33" x14ac:dyDescent="0.3">
      <c r="AG654" s="84"/>
    </row>
    <row r="655" spans="33:33" x14ac:dyDescent="0.3">
      <c r="AG655" s="84"/>
    </row>
    <row r="656" spans="33:33" x14ac:dyDescent="0.3">
      <c r="AG656" s="84"/>
    </row>
    <row r="657" spans="33:33" x14ac:dyDescent="0.3">
      <c r="AG657" s="84"/>
    </row>
    <row r="658" spans="33:33" x14ac:dyDescent="0.3">
      <c r="AG658" s="84"/>
    </row>
    <row r="659" spans="33:33" x14ac:dyDescent="0.3">
      <c r="AG659" s="84"/>
    </row>
    <row r="660" spans="33:33" x14ac:dyDescent="0.3">
      <c r="AG660" s="84"/>
    </row>
    <row r="661" spans="33:33" x14ac:dyDescent="0.3">
      <c r="AG661" s="84"/>
    </row>
    <row r="662" spans="33:33" x14ac:dyDescent="0.3">
      <c r="AG662" s="84"/>
    </row>
    <row r="663" spans="33:33" x14ac:dyDescent="0.3">
      <c r="AG663" s="84"/>
    </row>
    <row r="664" spans="33:33" x14ac:dyDescent="0.3">
      <c r="AG664" s="84"/>
    </row>
    <row r="665" spans="33:33" x14ac:dyDescent="0.3">
      <c r="AG665" s="84"/>
    </row>
    <row r="666" spans="33:33" x14ac:dyDescent="0.3">
      <c r="AG666" s="84"/>
    </row>
    <row r="667" spans="33:33" x14ac:dyDescent="0.3">
      <c r="AG667" s="84"/>
    </row>
    <row r="668" spans="33:33" x14ac:dyDescent="0.3">
      <c r="AG668" s="84"/>
    </row>
    <row r="669" spans="33:33" x14ac:dyDescent="0.3">
      <c r="AG669" s="84"/>
    </row>
    <row r="670" spans="33:33" x14ac:dyDescent="0.3">
      <c r="AG670" s="84"/>
    </row>
    <row r="671" spans="33:33" x14ac:dyDescent="0.3">
      <c r="AG671" s="84"/>
    </row>
    <row r="672" spans="33:33" x14ac:dyDescent="0.3">
      <c r="AG672" s="84"/>
    </row>
    <row r="673" spans="33:33" x14ac:dyDescent="0.3">
      <c r="AG673" s="84"/>
    </row>
    <row r="674" spans="33:33" x14ac:dyDescent="0.3">
      <c r="AG674" s="84"/>
    </row>
    <row r="675" spans="33:33" x14ac:dyDescent="0.3">
      <c r="AG675" s="84"/>
    </row>
    <row r="676" spans="33:33" x14ac:dyDescent="0.3">
      <c r="AG676" s="84"/>
    </row>
    <row r="677" spans="33:33" x14ac:dyDescent="0.3">
      <c r="AG677" s="84"/>
    </row>
    <row r="678" spans="33:33" x14ac:dyDescent="0.3">
      <c r="AG678" s="84"/>
    </row>
    <row r="679" spans="33:33" x14ac:dyDescent="0.3">
      <c r="AG679" s="84"/>
    </row>
    <row r="680" spans="33:33" x14ac:dyDescent="0.3">
      <c r="AG680" s="84"/>
    </row>
    <row r="681" spans="33:33" x14ac:dyDescent="0.3">
      <c r="AG681" s="84"/>
    </row>
    <row r="682" spans="33:33" x14ac:dyDescent="0.3">
      <c r="AG682" s="84"/>
    </row>
    <row r="683" spans="33:33" x14ac:dyDescent="0.3">
      <c r="AG683" s="84"/>
    </row>
    <row r="684" spans="33:33" x14ac:dyDescent="0.3">
      <c r="AG684" s="84"/>
    </row>
    <row r="685" spans="33:33" x14ac:dyDescent="0.3">
      <c r="AG685" s="84"/>
    </row>
    <row r="686" spans="33:33" x14ac:dyDescent="0.3">
      <c r="AG686" s="84"/>
    </row>
    <row r="687" spans="33:33" x14ac:dyDescent="0.3">
      <c r="AG687" s="84"/>
    </row>
    <row r="688" spans="33:33" x14ac:dyDescent="0.3">
      <c r="AG688" s="84"/>
    </row>
    <row r="689" spans="33:33" x14ac:dyDescent="0.3">
      <c r="AG689" s="84"/>
    </row>
    <row r="690" spans="33:33" x14ac:dyDescent="0.3">
      <c r="AG690" s="84"/>
    </row>
    <row r="691" spans="33:33" x14ac:dyDescent="0.3">
      <c r="AG691" s="84"/>
    </row>
    <row r="692" spans="33:33" x14ac:dyDescent="0.3">
      <c r="AG692" s="84"/>
    </row>
    <row r="693" spans="33:33" x14ac:dyDescent="0.3">
      <c r="AG693" s="84"/>
    </row>
    <row r="694" spans="33:33" x14ac:dyDescent="0.3">
      <c r="AG694" s="84"/>
    </row>
    <row r="695" spans="33:33" x14ac:dyDescent="0.3">
      <c r="AG695" s="84"/>
    </row>
    <row r="696" spans="33:33" x14ac:dyDescent="0.3">
      <c r="AG696" s="84"/>
    </row>
    <row r="697" spans="33:33" x14ac:dyDescent="0.3">
      <c r="AG697" s="84"/>
    </row>
    <row r="698" spans="33:33" x14ac:dyDescent="0.3">
      <c r="AG698" s="84"/>
    </row>
    <row r="699" spans="33:33" x14ac:dyDescent="0.3">
      <c r="AG699" s="84"/>
    </row>
    <row r="700" spans="33:33" x14ac:dyDescent="0.3">
      <c r="AG700" s="84"/>
    </row>
    <row r="701" spans="33:33" x14ac:dyDescent="0.3">
      <c r="AG701" s="84"/>
    </row>
    <row r="702" spans="33:33" x14ac:dyDescent="0.3">
      <c r="AG702" s="84"/>
    </row>
    <row r="703" spans="33:33" x14ac:dyDescent="0.3">
      <c r="AG703" s="84"/>
    </row>
    <row r="704" spans="33:33" x14ac:dyDescent="0.3">
      <c r="AG704" s="84"/>
    </row>
    <row r="705" spans="33:33" x14ac:dyDescent="0.3">
      <c r="AG705" s="84"/>
    </row>
    <row r="706" spans="33:33" x14ac:dyDescent="0.3">
      <c r="AG706" s="84"/>
    </row>
    <row r="707" spans="33:33" x14ac:dyDescent="0.3">
      <c r="AG707" s="84"/>
    </row>
    <row r="708" spans="33:33" x14ac:dyDescent="0.3">
      <c r="AG708" s="84"/>
    </row>
    <row r="709" spans="33:33" x14ac:dyDescent="0.3">
      <c r="AG709" s="84"/>
    </row>
    <row r="710" spans="33:33" x14ac:dyDescent="0.3">
      <c r="AG710" s="84"/>
    </row>
    <row r="711" spans="33:33" x14ac:dyDescent="0.3">
      <c r="AG711" s="84"/>
    </row>
    <row r="712" spans="33:33" x14ac:dyDescent="0.3">
      <c r="AG712" s="84"/>
    </row>
    <row r="713" spans="33:33" x14ac:dyDescent="0.3">
      <c r="AG713" s="84"/>
    </row>
    <row r="714" spans="33:33" x14ac:dyDescent="0.3">
      <c r="AG714" s="84"/>
    </row>
    <row r="715" spans="33:33" x14ac:dyDescent="0.3">
      <c r="AG715" s="84"/>
    </row>
    <row r="716" spans="33:33" x14ac:dyDescent="0.3">
      <c r="AG716" s="84"/>
    </row>
    <row r="717" spans="33:33" x14ac:dyDescent="0.3">
      <c r="AG717" s="84"/>
    </row>
    <row r="718" spans="33:33" x14ac:dyDescent="0.3">
      <c r="AG718" s="84"/>
    </row>
    <row r="719" spans="33:33" x14ac:dyDescent="0.3">
      <c r="AG719" s="84"/>
    </row>
    <row r="720" spans="33:33" x14ac:dyDescent="0.3">
      <c r="AG720" s="84"/>
    </row>
    <row r="721" spans="33:33" x14ac:dyDescent="0.3">
      <c r="AG721" s="84"/>
    </row>
    <row r="722" spans="33:33" x14ac:dyDescent="0.3">
      <c r="AG722" s="84"/>
    </row>
    <row r="723" spans="33:33" x14ac:dyDescent="0.3">
      <c r="AG723" s="84"/>
    </row>
    <row r="724" spans="33:33" x14ac:dyDescent="0.3">
      <c r="AG724" s="84"/>
    </row>
    <row r="725" spans="33:33" x14ac:dyDescent="0.3">
      <c r="AG725" s="84"/>
    </row>
    <row r="726" spans="33:33" x14ac:dyDescent="0.3">
      <c r="AG726" s="84"/>
    </row>
    <row r="727" spans="33:33" x14ac:dyDescent="0.3">
      <c r="AG727" s="84"/>
    </row>
    <row r="728" spans="33:33" x14ac:dyDescent="0.3">
      <c r="AG728" s="84"/>
    </row>
    <row r="729" spans="33:33" x14ac:dyDescent="0.3">
      <c r="AG729" s="84"/>
    </row>
    <row r="730" spans="33:33" x14ac:dyDescent="0.3">
      <c r="AG730" s="84"/>
    </row>
    <row r="731" spans="33:33" x14ac:dyDescent="0.3">
      <c r="AG731" s="84"/>
    </row>
    <row r="732" spans="33:33" x14ac:dyDescent="0.3">
      <c r="AG732" s="84"/>
    </row>
    <row r="733" spans="33:33" x14ac:dyDescent="0.3">
      <c r="AG733" s="84"/>
    </row>
    <row r="734" spans="33:33" x14ac:dyDescent="0.3">
      <c r="AG734" s="84"/>
    </row>
    <row r="735" spans="33:33" x14ac:dyDescent="0.3">
      <c r="AG735" s="84"/>
    </row>
    <row r="736" spans="33:33" x14ac:dyDescent="0.3">
      <c r="AG736" s="84"/>
    </row>
    <row r="737" spans="33:33" x14ac:dyDescent="0.3">
      <c r="AG737" s="84"/>
    </row>
    <row r="738" spans="33:33" x14ac:dyDescent="0.3">
      <c r="AG738" s="84"/>
    </row>
    <row r="739" spans="33:33" x14ac:dyDescent="0.3">
      <c r="AG739" s="84"/>
    </row>
    <row r="740" spans="33:33" x14ac:dyDescent="0.3">
      <c r="AG740" s="84"/>
    </row>
    <row r="741" spans="33:33" x14ac:dyDescent="0.3">
      <c r="AG741" s="84"/>
    </row>
    <row r="742" spans="33:33" x14ac:dyDescent="0.3">
      <c r="AG742" s="84"/>
    </row>
    <row r="743" spans="33:33" x14ac:dyDescent="0.3">
      <c r="AG743" s="84"/>
    </row>
    <row r="744" spans="33:33" x14ac:dyDescent="0.3">
      <c r="AG744" s="84"/>
    </row>
    <row r="745" spans="33:33" x14ac:dyDescent="0.3">
      <c r="AG745" s="84"/>
    </row>
    <row r="746" spans="33:33" x14ac:dyDescent="0.3">
      <c r="AG746" s="84"/>
    </row>
    <row r="747" spans="33:33" x14ac:dyDescent="0.3">
      <c r="AG747" s="84"/>
    </row>
    <row r="748" spans="33:33" x14ac:dyDescent="0.3">
      <c r="AG748" s="84"/>
    </row>
    <row r="749" spans="33:33" x14ac:dyDescent="0.3">
      <c r="AG749" s="84"/>
    </row>
    <row r="750" spans="33:33" x14ac:dyDescent="0.3">
      <c r="AG750" s="84"/>
    </row>
    <row r="751" spans="33:33" x14ac:dyDescent="0.3">
      <c r="AG751" s="84"/>
    </row>
    <row r="752" spans="33:33" x14ac:dyDescent="0.3">
      <c r="AG752" s="84"/>
    </row>
    <row r="753" spans="33:33" x14ac:dyDescent="0.3">
      <c r="AG753" s="84"/>
    </row>
    <row r="754" spans="33:33" x14ac:dyDescent="0.3">
      <c r="AG754" s="84"/>
    </row>
    <row r="755" spans="33:33" x14ac:dyDescent="0.3">
      <c r="AG755" s="84"/>
    </row>
    <row r="756" spans="33:33" x14ac:dyDescent="0.3">
      <c r="AG756" s="84"/>
    </row>
    <row r="757" spans="33:33" x14ac:dyDescent="0.3">
      <c r="AG757" s="84"/>
    </row>
    <row r="758" spans="33:33" x14ac:dyDescent="0.3">
      <c r="AG758" s="84"/>
    </row>
    <row r="759" spans="33:33" x14ac:dyDescent="0.3">
      <c r="AG759" s="84"/>
    </row>
    <row r="760" spans="33:33" x14ac:dyDescent="0.3">
      <c r="AG760" s="84"/>
    </row>
    <row r="761" spans="33:33" x14ac:dyDescent="0.3">
      <c r="AG761" s="84"/>
    </row>
    <row r="762" spans="33:33" x14ac:dyDescent="0.3">
      <c r="AG762" s="84"/>
    </row>
    <row r="763" spans="33:33" x14ac:dyDescent="0.3">
      <c r="AG763" s="84"/>
    </row>
    <row r="764" spans="33:33" x14ac:dyDescent="0.3">
      <c r="AG764" s="84"/>
    </row>
    <row r="765" spans="33:33" x14ac:dyDescent="0.3">
      <c r="AG765" s="84"/>
    </row>
    <row r="766" spans="33:33" x14ac:dyDescent="0.3">
      <c r="AG766" s="84"/>
    </row>
    <row r="767" spans="33:33" x14ac:dyDescent="0.3">
      <c r="AG767" s="84"/>
    </row>
    <row r="768" spans="33:33" x14ac:dyDescent="0.3">
      <c r="AG768" s="84"/>
    </row>
    <row r="769" spans="33:33" x14ac:dyDescent="0.3">
      <c r="AG769" s="84"/>
    </row>
    <row r="770" spans="33:33" x14ac:dyDescent="0.3">
      <c r="AG770" s="84"/>
    </row>
    <row r="771" spans="33:33" x14ac:dyDescent="0.3">
      <c r="AG771" s="84"/>
    </row>
    <row r="772" spans="33:33" x14ac:dyDescent="0.3">
      <c r="AG772" s="84"/>
    </row>
    <row r="773" spans="33:33" x14ac:dyDescent="0.3">
      <c r="AG773" s="84"/>
    </row>
    <row r="774" spans="33:33" x14ac:dyDescent="0.3">
      <c r="AG774" s="84"/>
    </row>
    <row r="775" spans="33:33" x14ac:dyDescent="0.3">
      <c r="AG775" s="84"/>
    </row>
    <row r="776" spans="33:33" x14ac:dyDescent="0.3">
      <c r="AG776" s="84"/>
    </row>
    <row r="777" spans="33:33" x14ac:dyDescent="0.3">
      <c r="AG777" s="84"/>
    </row>
    <row r="778" spans="33:33" x14ac:dyDescent="0.3">
      <c r="AG778" s="84"/>
    </row>
    <row r="779" spans="33:33" x14ac:dyDescent="0.3">
      <c r="AG779" s="84"/>
    </row>
    <row r="780" spans="33:33" x14ac:dyDescent="0.3">
      <c r="AG780" s="84"/>
    </row>
    <row r="781" spans="33:33" x14ac:dyDescent="0.3">
      <c r="AG781" s="84"/>
    </row>
    <row r="782" spans="33:33" x14ac:dyDescent="0.3">
      <c r="AG782" s="84"/>
    </row>
    <row r="783" spans="33:33" x14ac:dyDescent="0.3">
      <c r="AG783" s="84"/>
    </row>
    <row r="784" spans="33:33" x14ac:dyDescent="0.3">
      <c r="AG784" s="84"/>
    </row>
    <row r="785" spans="33:33" x14ac:dyDescent="0.3">
      <c r="AG785" s="84"/>
    </row>
    <row r="786" spans="33:33" x14ac:dyDescent="0.3">
      <c r="AG786" s="84"/>
    </row>
    <row r="787" spans="33:33" x14ac:dyDescent="0.3">
      <c r="AG787" s="84"/>
    </row>
    <row r="788" spans="33:33" x14ac:dyDescent="0.3">
      <c r="AG788" s="84"/>
    </row>
    <row r="789" spans="33:33" x14ac:dyDescent="0.3">
      <c r="AG789" s="84"/>
    </row>
    <row r="790" spans="33:33" x14ac:dyDescent="0.3">
      <c r="AG790" s="84"/>
    </row>
    <row r="791" spans="33:33" x14ac:dyDescent="0.3">
      <c r="AG791" s="84"/>
    </row>
    <row r="792" spans="33:33" x14ac:dyDescent="0.3">
      <c r="AG792" s="84"/>
    </row>
    <row r="793" spans="33:33" x14ac:dyDescent="0.3">
      <c r="AG793" s="84"/>
    </row>
    <row r="794" spans="33:33" x14ac:dyDescent="0.3">
      <c r="AG794" s="84"/>
    </row>
    <row r="795" spans="33:33" x14ac:dyDescent="0.3">
      <c r="AG795" s="84"/>
    </row>
    <row r="796" spans="33:33" x14ac:dyDescent="0.3">
      <c r="AG796" s="84"/>
    </row>
    <row r="797" spans="33:33" x14ac:dyDescent="0.3">
      <c r="AG797" s="84"/>
    </row>
    <row r="798" spans="33:33" x14ac:dyDescent="0.3">
      <c r="AG798" s="84"/>
    </row>
    <row r="799" spans="33:33" x14ac:dyDescent="0.3">
      <c r="AG799" s="84"/>
    </row>
    <row r="800" spans="33:33" x14ac:dyDescent="0.3">
      <c r="AG800" s="84"/>
    </row>
    <row r="801" spans="33:33" x14ac:dyDescent="0.3">
      <c r="AG801" s="84"/>
    </row>
    <row r="802" spans="33:33" x14ac:dyDescent="0.3">
      <c r="AG802" s="84"/>
    </row>
    <row r="803" spans="33:33" x14ac:dyDescent="0.3">
      <c r="AG803" s="84"/>
    </row>
    <row r="804" spans="33:33" x14ac:dyDescent="0.3">
      <c r="AG804" s="84"/>
    </row>
    <row r="805" spans="33:33" x14ac:dyDescent="0.3">
      <c r="AG805" s="84"/>
    </row>
    <row r="806" spans="33:33" x14ac:dyDescent="0.3">
      <c r="AG806" s="84"/>
    </row>
    <row r="807" spans="33:33" x14ac:dyDescent="0.3">
      <c r="AG807" s="84"/>
    </row>
    <row r="808" spans="33:33" x14ac:dyDescent="0.3">
      <c r="AG808" s="84"/>
    </row>
    <row r="809" spans="33:33" x14ac:dyDescent="0.3">
      <c r="AG809" s="84"/>
    </row>
    <row r="810" spans="33:33" x14ac:dyDescent="0.3">
      <c r="AG810" s="84"/>
    </row>
    <row r="811" spans="33:33" x14ac:dyDescent="0.3">
      <c r="AG811" s="84"/>
    </row>
    <row r="812" spans="33:33" x14ac:dyDescent="0.3">
      <c r="AG812" s="84"/>
    </row>
    <row r="813" spans="33:33" x14ac:dyDescent="0.3">
      <c r="AG813" s="84"/>
    </row>
    <row r="814" spans="33:33" x14ac:dyDescent="0.3">
      <c r="AG814" s="84"/>
    </row>
    <row r="815" spans="33:33" x14ac:dyDescent="0.3">
      <c r="AG815" s="84"/>
    </row>
    <row r="816" spans="33:33" x14ac:dyDescent="0.3">
      <c r="AG816" s="84"/>
    </row>
    <row r="817" spans="33:33" x14ac:dyDescent="0.3">
      <c r="AG817" s="84"/>
    </row>
    <row r="818" spans="33:33" x14ac:dyDescent="0.3">
      <c r="AG818" s="84"/>
    </row>
    <row r="819" spans="33:33" x14ac:dyDescent="0.3">
      <c r="AG819" s="84"/>
    </row>
    <row r="820" spans="33:33" x14ac:dyDescent="0.3">
      <c r="AG820" s="84"/>
    </row>
    <row r="821" spans="33:33" x14ac:dyDescent="0.3">
      <c r="AG821" s="84"/>
    </row>
    <row r="822" spans="33:33" x14ac:dyDescent="0.3">
      <c r="AG822" s="84"/>
    </row>
    <row r="823" spans="33:33" x14ac:dyDescent="0.3">
      <c r="AG823" s="84"/>
    </row>
    <row r="824" spans="33:33" x14ac:dyDescent="0.3">
      <c r="AG824" s="84"/>
    </row>
    <row r="825" spans="33:33" x14ac:dyDescent="0.3">
      <c r="AG825" s="84"/>
    </row>
    <row r="826" spans="33:33" x14ac:dyDescent="0.3">
      <c r="AG826" s="84"/>
    </row>
    <row r="827" spans="33:33" x14ac:dyDescent="0.3">
      <c r="AG827" s="84"/>
    </row>
    <row r="828" spans="33:33" x14ac:dyDescent="0.3">
      <c r="AG828" s="84"/>
    </row>
    <row r="829" spans="33:33" x14ac:dyDescent="0.3">
      <c r="AG829" s="84"/>
    </row>
    <row r="830" spans="33:33" x14ac:dyDescent="0.3">
      <c r="AG830" s="84"/>
    </row>
    <row r="831" spans="33:33" x14ac:dyDescent="0.3">
      <c r="AG831" s="84"/>
    </row>
    <row r="832" spans="33:33" x14ac:dyDescent="0.3">
      <c r="AG832" s="84"/>
    </row>
    <row r="833" spans="33:33" x14ac:dyDescent="0.3">
      <c r="AG833" s="84"/>
    </row>
    <row r="834" spans="33:33" x14ac:dyDescent="0.3">
      <c r="AG834" s="84"/>
    </row>
    <row r="835" spans="33:33" x14ac:dyDescent="0.3">
      <c r="AG835" s="84"/>
    </row>
    <row r="836" spans="33:33" x14ac:dyDescent="0.3">
      <c r="AG836" s="84"/>
    </row>
    <row r="837" spans="33:33" x14ac:dyDescent="0.3">
      <c r="AG837" s="84"/>
    </row>
    <row r="838" spans="33:33" x14ac:dyDescent="0.3">
      <c r="AG838" s="84"/>
    </row>
    <row r="839" spans="33:33" x14ac:dyDescent="0.3">
      <c r="AG839" s="84"/>
    </row>
    <row r="840" spans="33:33" x14ac:dyDescent="0.3">
      <c r="AG840" s="84"/>
    </row>
    <row r="841" spans="33:33" x14ac:dyDescent="0.3">
      <c r="AG841" s="84"/>
    </row>
    <row r="842" spans="33:33" x14ac:dyDescent="0.3">
      <c r="AG842" s="84"/>
    </row>
    <row r="843" spans="33:33" x14ac:dyDescent="0.3">
      <c r="AG843" s="84"/>
    </row>
    <row r="844" spans="33:33" x14ac:dyDescent="0.3">
      <c r="AG844" s="84"/>
    </row>
    <row r="845" spans="33:33" x14ac:dyDescent="0.3">
      <c r="AG845" s="84"/>
    </row>
    <row r="846" spans="33:33" x14ac:dyDescent="0.3">
      <c r="AG846" s="84"/>
    </row>
    <row r="847" spans="33:33" x14ac:dyDescent="0.3">
      <c r="AG847" s="84"/>
    </row>
    <row r="848" spans="33:33" x14ac:dyDescent="0.3">
      <c r="AG848" s="84"/>
    </row>
    <row r="849" spans="33:33" x14ac:dyDescent="0.3">
      <c r="AG849" s="84"/>
    </row>
    <row r="850" spans="33:33" x14ac:dyDescent="0.3">
      <c r="AG850" s="84"/>
    </row>
    <row r="851" spans="33:33" x14ac:dyDescent="0.3">
      <c r="AG851" s="84"/>
    </row>
    <row r="852" spans="33:33" x14ac:dyDescent="0.3">
      <c r="AG852" s="84"/>
    </row>
    <row r="853" spans="33:33" x14ac:dyDescent="0.3">
      <c r="AG853" s="84"/>
    </row>
    <row r="854" spans="33:33" x14ac:dyDescent="0.3">
      <c r="AG854" s="84"/>
    </row>
    <row r="855" spans="33:33" x14ac:dyDescent="0.3">
      <c r="AG855" s="84"/>
    </row>
    <row r="856" spans="33:33" x14ac:dyDescent="0.3">
      <c r="AG856" s="84"/>
    </row>
    <row r="857" spans="33:33" x14ac:dyDescent="0.3">
      <c r="AG857" s="84"/>
    </row>
    <row r="858" spans="33:33" x14ac:dyDescent="0.3">
      <c r="AG858" s="84"/>
    </row>
    <row r="859" spans="33:33" x14ac:dyDescent="0.3">
      <c r="AG859" s="84"/>
    </row>
    <row r="860" spans="33:33" x14ac:dyDescent="0.3">
      <c r="AG860" s="84"/>
    </row>
    <row r="861" spans="33:33" x14ac:dyDescent="0.3">
      <c r="AG861" s="84"/>
    </row>
    <row r="862" spans="33:33" x14ac:dyDescent="0.3">
      <c r="AG862" s="84"/>
    </row>
    <row r="863" spans="33:33" x14ac:dyDescent="0.3">
      <c r="AG863" s="84"/>
    </row>
    <row r="864" spans="33:33" x14ac:dyDescent="0.3">
      <c r="AG864" s="84"/>
    </row>
    <row r="865" spans="33:33" x14ac:dyDescent="0.3">
      <c r="AG865" s="84"/>
    </row>
    <row r="866" spans="33:33" x14ac:dyDescent="0.3">
      <c r="AG866" s="84"/>
    </row>
    <row r="867" spans="33:33" x14ac:dyDescent="0.3">
      <c r="AG867" s="84"/>
    </row>
    <row r="868" spans="33:33" x14ac:dyDescent="0.3">
      <c r="AG868" s="84"/>
    </row>
    <row r="869" spans="33:33" x14ac:dyDescent="0.3">
      <c r="AG869" s="84"/>
    </row>
    <row r="870" spans="33:33" x14ac:dyDescent="0.3">
      <c r="AG870" s="84"/>
    </row>
    <row r="871" spans="33:33" x14ac:dyDescent="0.3">
      <c r="AG871" s="84"/>
    </row>
    <row r="872" spans="33:33" x14ac:dyDescent="0.3">
      <c r="AG872" s="84"/>
    </row>
    <row r="873" spans="33:33" x14ac:dyDescent="0.3">
      <c r="AG873" s="84"/>
    </row>
    <row r="874" spans="33:33" x14ac:dyDescent="0.3">
      <c r="AG874" s="84"/>
    </row>
    <row r="875" spans="33:33" x14ac:dyDescent="0.3">
      <c r="AG875" s="84"/>
    </row>
    <row r="876" spans="33:33" x14ac:dyDescent="0.3">
      <c r="AG876" s="84"/>
    </row>
    <row r="877" spans="33:33" x14ac:dyDescent="0.3">
      <c r="AG877" s="84"/>
    </row>
    <row r="878" spans="33:33" x14ac:dyDescent="0.3">
      <c r="AG878" s="84"/>
    </row>
    <row r="879" spans="33:33" x14ac:dyDescent="0.3">
      <c r="AG879" s="84"/>
    </row>
    <row r="880" spans="33:33" x14ac:dyDescent="0.3">
      <c r="AG880" s="84"/>
    </row>
    <row r="881" spans="33:33" x14ac:dyDescent="0.3">
      <c r="AG881" s="84"/>
    </row>
    <row r="882" spans="33:33" x14ac:dyDescent="0.3">
      <c r="AG882" s="84"/>
    </row>
    <row r="883" spans="33:33" x14ac:dyDescent="0.3">
      <c r="AG883" s="84"/>
    </row>
    <row r="884" spans="33:33" x14ac:dyDescent="0.3">
      <c r="AG884" s="84"/>
    </row>
    <row r="885" spans="33:33" x14ac:dyDescent="0.3">
      <c r="AG885" s="84"/>
    </row>
    <row r="886" spans="33:33" x14ac:dyDescent="0.3">
      <c r="AG886" s="84"/>
    </row>
    <row r="887" spans="33:33" x14ac:dyDescent="0.3">
      <c r="AG887" s="84"/>
    </row>
    <row r="888" spans="33:33" x14ac:dyDescent="0.3">
      <c r="AG888" s="84"/>
    </row>
    <row r="889" spans="33:33" x14ac:dyDescent="0.3">
      <c r="AG889" s="84"/>
    </row>
    <row r="890" spans="33:33" x14ac:dyDescent="0.3">
      <c r="AG890" s="84"/>
    </row>
    <row r="891" spans="33:33" x14ac:dyDescent="0.3">
      <c r="AG891" s="84"/>
    </row>
    <row r="892" spans="33:33" x14ac:dyDescent="0.3">
      <c r="AG892" s="84"/>
    </row>
    <row r="893" spans="33:33" x14ac:dyDescent="0.3">
      <c r="AG893" s="84"/>
    </row>
    <row r="894" spans="33:33" x14ac:dyDescent="0.3">
      <c r="AG894" s="84"/>
    </row>
    <row r="895" spans="33:33" x14ac:dyDescent="0.3">
      <c r="AG895" s="84"/>
    </row>
    <row r="896" spans="33:33" x14ac:dyDescent="0.3">
      <c r="AG896" s="84"/>
    </row>
    <row r="897" spans="33:33" x14ac:dyDescent="0.3">
      <c r="AG897" s="84"/>
    </row>
    <row r="898" spans="33:33" x14ac:dyDescent="0.3">
      <c r="AG898" s="84"/>
    </row>
    <row r="899" spans="33:33" x14ac:dyDescent="0.3">
      <c r="AG899" s="84"/>
    </row>
    <row r="900" spans="33:33" x14ac:dyDescent="0.3">
      <c r="AG900" s="84"/>
    </row>
    <row r="901" spans="33:33" x14ac:dyDescent="0.3">
      <c r="AG901" s="84"/>
    </row>
    <row r="902" spans="33:33" x14ac:dyDescent="0.3">
      <c r="AG902" s="84"/>
    </row>
    <row r="903" spans="33:33" x14ac:dyDescent="0.3">
      <c r="AG903" s="84"/>
    </row>
    <row r="904" spans="33:33" x14ac:dyDescent="0.3">
      <c r="AG904" s="84"/>
    </row>
    <row r="905" spans="33:33" x14ac:dyDescent="0.3">
      <c r="AG905" s="84"/>
    </row>
    <row r="906" spans="33:33" x14ac:dyDescent="0.3">
      <c r="AG906" s="84"/>
    </row>
    <row r="907" spans="33:33" x14ac:dyDescent="0.3">
      <c r="AG907" s="84"/>
    </row>
    <row r="908" spans="33:33" x14ac:dyDescent="0.3">
      <c r="AG908" s="84"/>
    </row>
    <row r="909" spans="33:33" x14ac:dyDescent="0.3">
      <c r="AG909" s="84"/>
    </row>
    <row r="910" spans="33:33" x14ac:dyDescent="0.3">
      <c r="AG910" s="84"/>
    </row>
    <row r="911" spans="33:33" x14ac:dyDescent="0.3">
      <c r="AG911" s="84"/>
    </row>
    <row r="912" spans="33:33" x14ac:dyDescent="0.3">
      <c r="AG912" s="84"/>
    </row>
    <row r="913" spans="33:33" x14ac:dyDescent="0.3">
      <c r="AG913" s="84"/>
    </row>
    <row r="914" spans="33:33" x14ac:dyDescent="0.3">
      <c r="AG914" s="84"/>
    </row>
    <row r="915" spans="33:33" x14ac:dyDescent="0.3">
      <c r="AG915" s="84"/>
    </row>
    <row r="916" spans="33:33" x14ac:dyDescent="0.3">
      <c r="AG916" s="84"/>
    </row>
    <row r="917" spans="33:33" x14ac:dyDescent="0.3">
      <c r="AG917" s="84"/>
    </row>
    <row r="918" spans="33:33" x14ac:dyDescent="0.3">
      <c r="AG918" s="84"/>
    </row>
    <row r="919" spans="33:33" x14ac:dyDescent="0.3">
      <c r="AG919" s="84"/>
    </row>
    <row r="920" spans="33:33" x14ac:dyDescent="0.3">
      <c r="AG920" s="84"/>
    </row>
    <row r="921" spans="33:33" x14ac:dyDescent="0.3">
      <c r="AG921" s="84"/>
    </row>
    <row r="922" spans="33:33" x14ac:dyDescent="0.3">
      <c r="AG922" s="84"/>
    </row>
    <row r="923" spans="33:33" x14ac:dyDescent="0.3">
      <c r="AG923" s="84"/>
    </row>
    <row r="924" spans="33:33" x14ac:dyDescent="0.3">
      <c r="AG924" s="84"/>
    </row>
    <row r="925" spans="33:33" x14ac:dyDescent="0.3">
      <c r="AG925" s="84"/>
    </row>
    <row r="926" spans="33:33" x14ac:dyDescent="0.3">
      <c r="AG926" s="84"/>
    </row>
    <row r="927" spans="33:33" x14ac:dyDescent="0.3">
      <c r="AG927" s="84"/>
    </row>
    <row r="928" spans="33:33" x14ac:dyDescent="0.3">
      <c r="AG928" s="84"/>
    </row>
    <row r="929" spans="33:33" x14ac:dyDescent="0.3">
      <c r="AG929" s="84"/>
    </row>
    <row r="930" spans="33:33" x14ac:dyDescent="0.3">
      <c r="AG930" s="84"/>
    </row>
    <row r="931" spans="33:33" x14ac:dyDescent="0.3">
      <c r="AG931" s="84"/>
    </row>
    <row r="932" spans="33:33" x14ac:dyDescent="0.3">
      <c r="AG932" s="84"/>
    </row>
    <row r="933" spans="33:33" x14ac:dyDescent="0.3">
      <c r="AG933" s="84"/>
    </row>
    <row r="934" spans="33:33" x14ac:dyDescent="0.3">
      <c r="AG934" s="84"/>
    </row>
    <row r="935" spans="33:33" x14ac:dyDescent="0.3">
      <c r="AG935" s="84"/>
    </row>
    <row r="936" spans="33:33" x14ac:dyDescent="0.3">
      <c r="AG936" s="84"/>
    </row>
    <row r="937" spans="33:33" x14ac:dyDescent="0.3">
      <c r="AG937" s="84"/>
    </row>
    <row r="938" spans="33:33" x14ac:dyDescent="0.3">
      <c r="AG938" s="84"/>
    </row>
    <row r="939" spans="33:33" x14ac:dyDescent="0.3">
      <c r="AG939" s="84"/>
    </row>
    <row r="940" spans="33:33" x14ac:dyDescent="0.3">
      <c r="AG940" s="84"/>
    </row>
    <row r="941" spans="33:33" x14ac:dyDescent="0.3">
      <c r="AG941" s="84"/>
    </row>
    <row r="942" spans="33:33" x14ac:dyDescent="0.3">
      <c r="AG942" s="84"/>
    </row>
    <row r="943" spans="33:33" x14ac:dyDescent="0.3">
      <c r="AG943" s="84"/>
    </row>
    <row r="944" spans="33:33" x14ac:dyDescent="0.3">
      <c r="AG944" s="84"/>
    </row>
    <row r="945" spans="33:33" x14ac:dyDescent="0.3">
      <c r="AG945" s="84"/>
    </row>
    <row r="946" spans="33:33" x14ac:dyDescent="0.3">
      <c r="AG946" s="84"/>
    </row>
    <row r="947" spans="33:33" x14ac:dyDescent="0.3">
      <c r="AG947" s="84"/>
    </row>
    <row r="948" spans="33:33" x14ac:dyDescent="0.3">
      <c r="AG948" s="84"/>
    </row>
    <row r="949" spans="33:33" x14ac:dyDescent="0.3">
      <c r="AG949" s="84"/>
    </row>
    <row r="950" spans="33:33" x14ac:dyDescent="0.3">
      <c r="AG950" s="84"/>
    </row>
    <row r="951" spans="33:33" x14ac:dyDescent="0.3">
      <c r="AG951" s="84"/>
    </row>
    <row r="952" spans="33:33" x14ac:dyDescent="0.3">
      <c r="AG952" s="84"/>
    </row>
    <row r="953" spans="33:33" x14ac:dyDescent="0.3">
      <c r="AG953" s="84"/>
    </row>
    <row r="954" spans="33:33" x14ac:dyDescent="0.3">
      <c r="AG954" s="84"/>
    </row>
    <row r="955" spans="33:33" x14ac:dyDescent="0.3">
      <c r="AG955" s="84"/>
    </row>
    <row r="956" spans="33:33" x14ac:dyDescent="0.3">
      <c r="AG956" s="84"/>
    </row>
    <row r="957" spans="33:33" x14ac:dyDescent="0.3">
      <c r="AG957" s="84"/>
    </row>
    <row r="958" spans="33:33" x14ac:dyDescent="0.3">
      <c r="AG958" s="84"/>
    </row>
    <row r="959" spans="33:33" x14ac:dyDescent="0.3">
      <c r="AG959" s="84"/>
    </row>
    <row r="960" spans="33:33" x14ac:dyDescent="0.3">
      <c r="AG960" s="84"/>
    </row>
    <row r="961" spans="33:33" x14ac:dyDescent="0.3">
      <c r="AG961" s="84"/>
    </row>
    <row r="962" spans="33:33" x14ac:dyDescent="0.3">
      <c r="AG962" s="84"/>
    </row>
    <row r="963" spans="33:33" x14ac:dyDescent="0.3">
      <c r="AG963" s="84"/>
    </row>
    <row r="964" spans="33:33" x14ac:dyDescent="0.3">
      <c r="AG964" s="84"/>
    </row>
    <row r="965" spans="33:33" x14ac:dyDescent="0.3">
      <c r="AG965" s="84"/>
    </row>
    <row r="966" spans="33:33" x14ac:dyDescent="0.3">
      <c r="AG966" s="84"/>
    </row>
    <row r="967" spans="33:33" x14ac:dyDescent="0.3">
      <c r="AG967" s="84"/>
    </row>
    <row r="968" spans="33:33" x14ac:dyDescent="0.3">
      <c r="AG968" s="84"/>
    </row>
    <row r="969" spans="33:33" x14ac:dyDescent="0.3">
      <c r="AG969" s="84"/>
    </row>
    <row r="970" spans="33:33" x14ac:dyDescent="0.3">
      <c r="AG970" s="84"/>
    </row>
    <row r="971" spans="33:33" x14ac:dyDescent="0.3">
      <c r="AG971" s="84"/>
    </row>
    <row r="972" spans="33:33" x14ac:dyDescent="0.3">
      <c r="AG972" s="84"/>
    </row>
    <row r="973" spans="33:33" x14ac:dyDescent="0.3">
      <c r="AG973" s="84"/>
    </row>
    <row r="974" spans="33:33" x14ac:dyDescent="0.3">
      <c r="AG974" s="84"/>
    </row>
    <row r="975" spans="33:33" x14ac:dyDescent="0.3">
      <c r="AG975" s="84"/>
    </row>
    <row r="976" spans="33:33" x14ac:dyDescent="0.3">
      <c r="AG976" s="84"/>
    </row>
    <row r="977" spans="33:33" x14ac:dyDescent="0.3">
      <c r="AG977" s="84"/>
    </row>
    <row r="978" spans="33:33" x14ac:dyDescent="0.3">
      <c r="AG978" s="84"/>
    </row>
    <row r="979" spans="33:33" x14ac:dyDescent="0.3">
      <c r="AG979" s="84"/>
    </row>
    <row r="980" spans="33:33" x14ac:dyDescent="0.3">
      <c r="AG980" s="84"/>
    </row>
    <row r="981" spans="33:33" x14ac:dyDescent="0.3">
      <c r="AG981" s="84"/>
    </row>
    <row r="982" spans="33:33" x14ac:dyDescent="0.3">
      <c r="AG982" s="84"/>
    </row>
    <row r="983" spans="33:33" x14ac:dyDescent="0.3">
      <c r="AG983" s="84"/>
    </row>
    <row r="984" spans="33:33" x14ac:dyDescent="0.3">
      <c r="AG984" s="84"/>
    </row>
    <row r="985" spans="33:33" x14ac:dyDescent="0.3">
      <c r="AG985" s="84"/>
    </row>
    <row r="986" spans="33:33" x14ac:dyDescent="0.3">
      <c r="AG986" s="84"/>
    </row>
    <row r="987" spans="33:33" x14ac:dyDescent="0.3">
      <c r="AG987" s="84"/>
    </row>
    <row r="988" spans="33:33" x14ac:dyDescent="0.3">
      <c r="AG988" s="84"/>
    </row>
    <row r="989" spans="33:33" x14ac:dyDescent="0.3">
      <c r="AG989" s="84"/>
    </row>
    <row r="990" spans="33:33" x14ac:dyDescent="0.3">
      <c r="AG990" s="84"/>
    </row>
    <row r="991" spans="33:33" x14ac:dyDescent="0.3">
      <c r="AG991" s="84"/>
    </row>
    <row r="992" spans="33:33" x14ac:dyDescent="0.3">
      <c r="AG992" s="84"/>
    </row>
    <row r="993" spans="33:33" x14ac:dyDescent="0.3">
      <c r="AG993" s="84"/>
    </row>
    <row r="994" spans="33:33" x14ac:dyDescent="0.3">
      <c r="AG994" s="84"/>
    </row>
    <row r="995" spans="33:33" x14ac:dyDescent="0.3">
      <c r="AG995" s="84"/>
    </row>
    <row r="996" spans="33:33" x14ac:dyDescent="0.3">
      <c r="AG996" s="84"/>
    </row>
    <row r="997" spans="33:33" x14ac:dyDescent="0.3">
      <c r="AG997" s="84"/>
    </row>
    <row r="998" spans="33:33" x14ac:dyDescent="0.3">
      <c r="AG998" s="84"/>
    </row>
    <row r="999" spans="33:33" x14ac:dyDescent="0.3">
      <c r="AG999" s="84"/>
    </row>
    <row r="1000" spans="33:33" x14ac:dyDescent="0.3">
      <c r="AG1000" s="84"/>
    </row>
    <row r="1001" spans="33:33" x14ac:dyDescent="0.3">
      <c r="AG1001" s="84"/>
    </row>
    <row r="1002" spans="33:33" x14ac:dyDescent="0.3">
      <c r="AG1002" s="84"/>
    </row>
    <row r="1003" spans="33:33" x14ac:dyDescent="0.3">
      <c r="AG1003" s="84"/>
    </row>
    <row r="1004" spans="33:33" x14ac:dyDescent="0.3">
      <c r="AG1004" s="84"/>
    </row>
    <row r="1005" spans="33:33" x14ac:dyDescent="0.3">
      <c r="AG1005" s="84"/>
    </row>
    <row r="1006" spans="33:33" x14ac:dyDescent="0.3">
      <c r="AG1006" s="84"/>
    </row>
    <row r="1007" spans="33:33" x14ac:dyDescent="0.3">
      <c r="AG1007" s="84"/>
    </row>
    <row r="1008" spans="33:33" x14ac:dyDescent="0.3">
      <c r="AG1008" s="84"/>
    </row>
    <row r="1009" spans="33:33" x14ac:dyDescent="0.3">
      <c r="AG1009" s="84"/>
    </row>
    <row r="1010" spans="33:33" x14ac:dyDescent="0.3">
      <c r="AG1010" s="84"/>
    </row>
    <row r="1011" spans="33:33" x14ac:dyDescent="0.3">
      <c r="AG1011" s="84"/>
    </row>
    <row r="1012" spans="33:33" x14ac:dyDescent="0.3">
      <c r="AG1012" s="84"/>
    </row>
    <row r="1013" spans="33:33" x14ac:dyDescent="0.3">
      <c r="AG1013" s="84"/>
    </row>
    <row r="1014" spans="33:33" x14ac:dyDescent="0.3">
      <c r="AG1014" s="84"/>
    </row>
    <row r="1015" spans="33:33" x14ac:dyDescent="0.3">
      <c r="AG1015" s="84"/>
    </row>
    <row r="1016" spans="33:33" x14ac:dyDescent="0.3">
      <c r="AG1016" s="84"/>
    </row>
    <row r="1017" spans="33:33" x14ac:dyDescent="0.3">
      <c r="AG1017" s="84"/>
    </row>
    <row r="1018" spans="33:33" x14ac:dyDescent="0.3">
      <c r="AG1018" s="84"/>
    </row>
    <row r="1019" spans="33:33" x14ac:dyDescent="0.3">
      <c r="AG1019" s="84"/>
    </row>
    <row r="1020" spans="33:33" x14ac:dyDescent="0.3">
      <c r="AG1020" s="84"/>
    </row>
    <row r="1021" spans="33:33" x14ac:dyDescent="0.3">
      <c r="AG1021" s="84"/>
    </row>
    <row r="1022" spans="33:33" x14ac:dyDescent="0.3">
      <c r="AG1022" s="84"/>
    </row>
    <row r="1023" spans="33:33" x14ac:dyDescent="0.3">
      <c r="AG1023" s="84"/>
    </row>
    <row r="1024" spans="33:33" x14ac:dyDescent="0.3">
      <c r="AG1024" s="84"/>
    </row>
    <row r="1025" spans="33:33" x14ac:dyDescent="0.3">
      <c r="AG1025" s="84"/>
    </row>
    <row r="1026" spans="33:33" x14ac:dyDescent="0.3">
      <c r="AG1026" s="84"/>
    </row>
    <row r="1027" spans="33:33" x14ac:dyDescent="0.3">
      <c r="AG1027" s="84"/>
    </row>
    <row r="1028" spans="33:33" x14ac:dyDescent="0.3">
      <c r="AG1028" s="84"/>
    </row>
    <row r="1029" spans="33:33" x14ac:dyDescent="0.3">
      <c r="AG1029" s="84"/>
    </row>
    <row r="1030" spans="33:33" x14ac:dyDescent="0.3">
      <c r="AG1030" s="84"/>
    </row>
    <row r="1031" spans="33:33" x14ac:dyDescent="0.3">
      <c r="AG1031" s="84"/>
    </row>
    <row r="1032" spans="33:33" x14ac:dyDescent="0.3">
      <c r="AG1032" s="84"/>
    </row>
    <row r="1033" spans="33:33" x14ac:dyDescent="0.3">
      <c r="AG1033" s="84"/>
    </row>
    <row r="1034" spans="33:33" x14ac:dyDescent="0.3">
      <c r="AG1034" s="84"/>
    </row>
    <row r="1035" spans="33:33" x14ac:dyDescent="0.3">
      <c r="AG1035" s="84"/>
    </row>
    <row r="1036" spans="33:33" x14ac:dyDescent="0.3">
      <c r="AG1036" s="84"/>
    </row>
    <row r="1037" spans="33:33" x14ac:dyDescent="0.3">
      <c r="AG1037" s="84"/>
    </row>
    <row r="1038" spans="33:33" x14ac:dyDescent="0.3">
      <c r="AG1038" s="84"/>
    </row>
    <row r="1039" spans="33:33" x14ac:dyDescent="0.3">
      <c r="AG1039" s="84"/>
    </row>
    <row r="1040" spans="33:33" x14ac:dyDescent="0.3">
      <c r="AG1040" s="84"/>
    </row>
    <row r="1041" spans="33:33" x14ac:dyDescent="0.3">
      <c r="AG1041" s="84"/>
    </row>
    <row r="1042" spans="33:33" x14ac:dyDescent="0.3">
      <c r="AG1042" s="84"/>
    </row>
    <row r="1043" spans="33:33" x14ac:dyDescent="0.3">
      <c r="AG1043" s="84"/>
    </row>
    <row r="1044" spans="33:33" x14ac:dyDescent="0.3">
      <c r="AG1044" s="84"/>
    </row>
    <row r="1045" spans="33:33" x14ac:dyDescent="0.3">
      <c r="AG1045" s="84"/>
    </row>
    <row r="1046" spans="33:33" x14ac:dyDescent="0.3">
      <c r="AG1046" s="84"/>
    </row>
    <row r="1047" spans="33:33" x14ac:dyDescent="0.3">
      <c r="AG1047" s="84"/>
    </row>
    <row r="1048" spans="33:33" x14ac:dyDescent="0.3">
      <c r="AG1048" s="84"/>
    </row>
    <row r="1049" spans="33:33" x14ac:dyDescent="0.3">
      <c r="AG1049" s="84"/>
    </row>
    <row r="1050" spans="33:33" x14ac:dyDescent="0.3">
      <c r="AG1050" s="84"/>
    </row>
    <row r="1051" spans="33:33" x14ac:dyDescent="0.3">
      <c r="AG1051" s="84"/>
    </row>
    <row r="1052" spans="33:33" x14ac:dyDescent="0.3">
      <c r="AG1052" s="84"/>
    </row>
    <row r="1053" spans="33:33" x14ac:dyDescent="0.3">
      <c r="AG1053" s="84"/>
    </row>
    <row r="1054" spans="33:33" x14ac:dyDescent="0.3">
      <c r="AG1054" s="84"/>
    </row>
    <row r="1055" spans="33:33" x14ac:dyDescent="0.3">
      <c r="AG1055" s="84"/>
    </row>
    <row r="1056" spans="33:33" x14ac:dyDescent="0.3">
      <c r="AG1056" s="84"/>
    </row>
    <row r="1057" spans="33:33" x14ac:dyDescent="0.3">
      <c r="AG1057" s="84"/>
    </row>
    <row r="1058" spans="33:33" x14ac:dyDescent="0.3">
      <c r="AG1058" s="84"/>
    </row>
    <row r="1059" spans="33:33" x14ac:dyDescent="0.3">
      <c r="AG1059" s="84"/>
    </row>
    <row r="1060" spans="33:33" x14ac:dyDescent="0.3">
      <c r="AG1060" s="84"/>
    </row>
    <row r="1061" spans="33:33" x14ac:dyDescent="0.3">
      <c r="AG1061" s="84"/>
    </row>
    <row r="1062" spans="33:33" x14ac:dyDescent="0.3">
      <c r="AG1062" s="84"/>
    </row>
    <row r="1063" spans="33:33" x14ac:dyDescent="0.3">
      <c r="AG1063" s="84"/>
    </row>
    <row r="1064" spans="33:33" x14ac:dyDescent="0.3">
      <c r="AG1064" s="84"/>
    </row>
    <row r="1065" spans="33:33" x14ac:dyDescent="0.3">
      <c r="AG1065" s="84"/>
    </row>
    <row r="1066" spans="33:33" x14ac:dyDescent="0.3">
      <c r="AG1066" s="84"/>
    </row>
    <row r="1067" spans="33:33" x14ac:dyDescent="0.3">
      <c r="AG1067" s="84"/>
    </row>
    <row r="1068" spans="33:33" x14ac:dyDescent="0.3">
      <c r="AG1068" s="84"/>
    </row>
    <row r="1069" spans="33:33" x14ac:dyDescent="0.3">
      <c r="AG1069" s="84"/>
    </row>
    <row r="1070" spans="33:33" x14ac:dyDescent="0.3">
      <c r="AG1070" s="84"/>
    </row>
    <row r="1071" spans="33:33" x14ac:dyDescent="0.3">
      <c r="AG1071" s="84"/>
    </row>
    <row r="1072" spans="33:33" x14ac:dyDescent="0.3">
      <c r="AG1072" s="84"/>
    </row>
    <row r="1073" spans="33:33" x14ac:dyDescent="0.3">
      <c r="AG1073" s="84"/>
    </row>
    <row r="1074" spans="33:33" x14ac:dyDescent="0.3">
      <c r="AG1074" s="84"/>
    </row>
    <row r="1075" spans="33:33" x14ac:dyDescent="0.3">
      <c r="AG1075" s="84"/>
    </row>
    <row r="1076" spans="33:33" x14ac:dyDescent="0.3">
      <c r="AG1076" s="84"/>
    </row>
    <row r="1077" spans="33:33" x14ac:dyDescent="0.3">
      <c r="AG1077" s="84"/>
    </row>
    <row r="1078" spans="33:33" x14ac:dyDescent="0.3">
      <c r="AG1078" s="84"/>
    </row>
    <row r="1079" spans="33:33" x14ac:dyDescent="0.3">
      <c r="AG1079" s="84"/>
    </row>
    <row r="1080" spans="33:33" x14ac:dyDescent="0.3">
      <c r="AG1080" s="84"/>
    </row>
    <row r="1081" spans="33:33" x14ac:dyDescent="0.3">
      <c r="AG1081" s="84"/>
    </row>
    <row r="1082" spans="33:33" x14ac:dyDescent="0.3">
      <c r="AG1082" s="84"/>
    </row>
    <row r="1083" spans="33:33" x14ac:dyDescent="0.3">
      <c r="AG1083" s="84"/>
    </row>
    <row r="1084" spans="33:33" x14ac:dyDescent="0.3">
      <c r="AG1084" s="84"/>
    </row>
    <row r="1085" spans="33:33" x14ac:dyDescent="0.3">
      <c r="AG1085" s="84"/>
    </row>
    <row r="1086" spans="33:33" x14ac:dyDescent="0.3">
      <c r="AG1086" s="84"/>
    </row>
    <row r="1087" spans="33:33" x14ac:dyDescent="0.3">
      <c r="AG1087" s="84"/>
    </row>
    <row r="1088" spans="33:33" x14ac:dyDescent="0.3">
      <c r="AG1088" s="84"/>
    </row>
    <row r="1089" spans="33:33" x14ac:dyDescent="0.3">
      <c r="AG1089" s="84"/>
    </row>
    <row r="1090" spans="33:33" x14ac:dyDescent="0.3">
      <c r="AG1090" s="84"/>
    </row>
    <row r="1091" spans="33:33" x14ac:dyDescent="0.3">
      <c r="AG1091" s="84"/>
    </row>
    <row r="1092" spans="33:33" x14ac:dyDescent="0.3">
      <c r="AG1092" s="84"/>
    </row>
    <row r="1093" spans="33:33" x14ac:dyDescent="0.3">
      <c r="AG1093" s="84"/>
    </row>
    <row r="1094" spans="33:33" x14ac:dyDescent="0.3">
      <c r="AG1094" s="84"/>
    </row>
    <row r="1095" spans="33:33" x14ac:dyDescent="0.3">
      <c r="AG1095" s="84"/>
    </row>
    <row r="1096" spans="33:33" x14ac:dyDescent="0.3">
      <c r="AG1096" s="84"/>
    </row>
    <row r="1097" spans="33:33" x14ac:dyDescent="0.3">
      <c r="AG1097" s="84"/>
    </row>
    <row r="1098" spans="33:33" x14ac:dyDescent="0.3">
      <c r="AG1098" s="84"/>
    </row>
    <row r="1099" spans="33:33" x14ac:dyDescent="0.3">
      <c r="AG1099" s="84"/>
    </row>
    <row r="1100" spans="33:33" x14ac:dyDescent="0.3">
      <c r="AG1100" s="84"/>
    </row>
    <row r="1101" spans="33:33" x14ac:dyDescent="0.3">
      <c r="AG1101" s="84"/>
    </row>
    <row r="1102" spans="33:33" x14ac:dyDescent="0.3">
      <c r="AG1102" s="84"/>
    </row>
    <row r="1103" spans="33:33" x14ac:dyDescent="0.3">
      <c r="AG1103" s="84"/>
    </row>
    <row r="1104" spans="33:33" x14ac:dyDescent="0.3">
      <c r="AG1104" s="84"/>
    </row>
    <row r="1105" spans="33:33" x14ac:dyDescent="0.3">
      <c r="AG1105" s="84"/>
    </row>
  </sheetData>
  <mergeCells count="88">
    <mergeCell ref="B71:E71"/>
    <mergeCell ref="B72:E72"/>
    <mergeCell ref="B73:E73"/>
    <mergeCell ref="B66:E66"/>
    <mergeCell ref="B67:E67"/>
    <mergeCell ref="B68:E68"/>
    <mergeCell ref="B69:E69"/>
    <mergeCell ref="B70:E70"/>
    <mergeCell ref="B61:E61"/>
    <mergeCell ref="B62:E62"/>
    <mergeCell ref="B63:E63"/>
    <mergeCell ref="B64:E64"/>
    <mergeCell ref="B65:E65"/>
    <mergeCell ref="B56:E56"/>
    <mergeCell ref="B57:E57"/>
    <mergeCell ref="B58:E58"/>
    <mergeCell ref="B59:E59"/>
    <mergeCell ref="B60:E60"/>
    <mergeCell ref="B1:I1"/>
    <mergeCell ref="S3:W3"/>
    <mergeCell ref="A4:E5"/>
    <mergeCell ref="P4:P5"/>
    <mergeCell ref="Q4:Q5"/>
    <mergeCell ref="R4:R5"/>
    <mergeCell ref="S4:S5"/>
    <mergeCell ref="T4:T5"/>
    <mergeCell ref="V4:V5"/>
    <mergeCell ref="W4:W5"/>
    <mergeCell ref="AF4:AF5"/>
    <mergeCell ref="AG4:AG5"/>
    <mergeCell ref="AH4:AH5"/>
    <mergeCell ref="AK4:AK5"/>
    <mergeCell ref="A6:E6"/>
    <mergeCell ref="X4:X5"/>
    <mergeCell ref="Y4:Y5"/>
    <mergeCell ref="Z4:Z5"/>
    <mergeCell ref="AA4:AA5"/>
    <mergeCell ref="AB4:AB5"/>
    <mergeCell ref="AC4:AC5"/>
    <mergeCell ref="B21:E21"/>
    <mergeCell ref="B7:E7"/>
    <mergeCell ref="B8:E8"/>
    <mergeCell ref="B9:E9"/>
    <mergeCell ref="B10:E10"/>
    <mergeCell ref="B11:E11"/>
    <mergeCell ref="B12:E12"/>
    <mergeCell ref="B13:E13"/>
    <mergeCell ref="B14:E14"/>
    <mergeCell ref="B15:E15"/>
    <mergeCell ref="B16:E16"/>
    <mergeCell ref="B17:E17"/>
    <mergeCell ref="B18:E18"/>
    <mergeCell ref="B19:E19"/>
    <mergeCell ref="B20:E20"/>
    <mergeCell ref="B33:E33"/>
    <mergeCell ref="B22:E22"/>
    <mergeCell ref="B23:E23"/>
    <mergeCell ref="B24:E24"/>
    <mergeCell ref="B25:E25"/>
    <mergeCell ref="B26:E26"/>
    <mergeCell ref="B27:E27"/>
    <mergeCell ref="B28:E28"/>
    <mergeCell ref="B29:E29"/>
    <mergeCell ref="B30:E30"/>
    <mergeCell ref="B31:E31"/>
    <mergeCell ref="B32:E32"/>
    <mergeCell ref="B45:E45"/>
    <mergeCell ref="B34:E34"/>
    <mergeCell ref="B35:E35"/>
    <mergeCell ref="B36:E36"/>
    <mergeCell ref="B37:E37"/>
    <mergeCell ref="B38:E38"/>
    <mergeCell ref="B39:E39"/>
    <mergeCell ref="B40:E40"/>
    <mergeCell ref="B41:E41"/>
    <mergeCell ref="B42:E42"/>
    <mergeCell ref="B43:E43"/>
    <mergeCell ref="B44:E44"/>
    <mergeCell ref="B52:E52"/>
    <mergeCell ref="B53:E53"/>
    <mergeCell ref="B54:E54"/>
    <mergeCell ref="B55:E55"/>
    <mergeCell ref="B46:E46"/>
    <mergeCell ref="B47:E47"/>
    <mergeCell ref="B48:E48"/>
    <mergeCell ref="B49:E49"/>
    <mergeCell ref="B50:E50"/>
    <mergeCell ref="B51:E51"/>
  </mergeCells>
  <pageMargins left="0.69930555555555596" right="0.69930555555555596" top="0.75" bottom="0.75" header="0.3" footer="0.3"/>
  <pageSetup paperSize="10000" scale="38" orientation="landscape" r:id="rId1"/>
  <rowBreaks count="1" manualBreakCount="1">
    <brk id="51" max="85" man="1"/>
  </rowBreaks>
  <colBreaks count="1" manualBreakCount="1">
    <brk id="37" min="3" max="343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9D275-4B8A-4229-A7C1-0CAE841AFBE3}">
  <dimension ref="A1:EU1105"/>
  <sheetViews>
    <sheetView zoomScale="110" zoomScaleNormal="110" zoomScaleSheetLayoutView="98" workbookViewId="0">
      <pane xSplit="6" ySplit="5" topLeftCell="G60" activePane="bottomRight" state="frozen"/>
      <selection activeCell="A16" sqref="A16:XFD16"/>
      <selection pane="topRight" activeCell="A16" sqref="A16:XFD16"/>
      <selection pane="bottomLeft" activeCell="A16" sqref="A16:XFD16"/>
      <selection pane="bottomRight" activeCell="B72" sqref="B72:E72"/>
    </sheetView>
  </sheetViews>
  <sheetFormatPr defaultColWidth="9" defaultRowHeight="14.4" x14ac:dyDescent="0.3"/>
  <cols>
    <col min="1" max="1" width="3" customWidth="1"/>
    <col min="2" max="2" width="16.44140625" bestFit="1" customWidth="1"/>
    <col min="3" max="3" width="1.88671875" customWidth="1"/>
    <col min="4" max="4" width="13.109375" customWidth="1"/>
    <col min="5" max="5" width="3" customWidth="1"/>
    <col min="6" max="6" width="17.5546875" hidden="1" customWidth="1"/>
    <col min="7" max="7" width="12" customWidth="1"/>
    <col min="8" max="8" width="41.44140625" hidden="1" customWidth="1"/>
    <col min="9" max="9" width="10.5546875" customWidth="1"/>
    <col min="10" max="10" width="43" hidden="1" customWidth="1"/>
    <col min="11" max="11" width="10.5546875" customWidth="1"/>
    <col min="12" max="12" width="31.44140625" hidden="1" customWidth="1"/>
    <col min="13" max="13" width="9" customWidth="1"/>
    <col min="14" max="14" width="28.109375" hidden="1" customWidth="1"/>
    <col min="15" max="15" width="10.44140625" customWidth="1"/>
    <col min="16" max="16" width="10.109375" customWidth="1"/>
    <col min="17" max="17" width="8.88671875" bestFit="1" customWidth="1"/>
    <col min="18" max="20" width="8.44140625" customWidth="1"/>
    <col min="21" max="21" width="9.33203125" customWidth="1"/>
    <col min="22" max="23" width="9.6640625" customWidth="1"/>
    <col min="24" max="24" width="10.109375" customWidth="1"/>
    <col min="25" max="25" width="9.109375" customWidth="1"/>
    <col min="26" max="26" width="9.88671875" customWidth="1"/>
    <col min="27" max="27" width="8.33203125" customWidth="1"/>
    <col min="28" max="28" width="8.109375" customWidth="1"/>
    <col min="29" max="29" width="11.33203125" customWidth="1"/>
    <col min="30" max="30" width="11.6640625" customWidth="1"/>
    <col min="31" max="31" width="8.33203125" customWidth="1"/>
    <col min="32" max="32" width="12.44140625" customWidth="1"/>
    <col min="33" max="33" width="9.88671875" customWidth="1"/>
    <col min="34" max="34" width="10.5546875" customWidth="1"/>
    <col min="35" max="35" width="10.33203125" customWidth="1"/>
    <col min="36" max="36" width="8.5546875" customWidth="1"/>
    <col min="37" max="37" width="12.5546875" customWidth="1"/>
    <col min="38" max="38" width="6.109375" customWidth="1"/>
    <col min="39" max="39" width="3" customWidth="1"/>
  </cols>
  <sheetData>
    <row r="1" spans="1:115" x14ac:dyDescent="0.3">
      <c r="A1" s="1"/>
      <c r="B1" s="116"/>
      <c r="C1" s="116"/>
      <c r="D1" s="116"/>
      <c r="E1" s="116"/>
      <c r="F1" s="116"/>
      <c r="G1" s="116"/>
      <c r="H1" s="116"/>
      <c r="I1" s="116"/>
      <c r="J1" s="2"/>
      <c r="K1" s="2"/>
      <c r="L1" s="3"/>
      <c r="M1" s="2"/>
      <c r="N1" s="2"/>
      <c r="O1" s="2"/>
      <c r="Q1" s="2"/>
      <c r="R1" s="2"/>
      <c r="S1" s="2"/>
      <c r="T1" s="2"/>
      <c r="AG1" s="4"/>
      <c r="AH1" s="4"/>
      <c r="AL1" s="5"/>
      <c r="AM1" s="6"/>
      <c r="AN1" s="5"/>
      <c r="AO1" s="5"/>
      <c r="AP1" s="5"/>
      <c r="AQ1" s="5"/>
      <c r="AR1" s="7"/>
      <c r="AS1" s="7"/>
      <c r="AT1" s="7"/>
      <c r="AU1" s="7"/>
      <c r="AV1" s="7"/>
    </row>
    <row r="2" spans="1:115" ht="12" hidden="1" customHeight="1" x14ac:dyDescent="0.3">
      <c r="A2" s="8"/>
      <c r="B2" s="9"/>
      <c r="C2" s="10" t="s">
        <v>0</v>
      </c>
      <c r="D2" s="11"/>
      <c r="E2" s="10"/>
      <c r="F2" s="10"/>
      <c r="H2" s="12" t="s">
        <v>1</v>
      </c>
      <c r="I2" s="13"/>
      <c r="J2" s="14"/>
      <c r="K2" s="15" t="s">
        <v>2</v>
      </c>
      <c r="L2" s="14"/>
      <c r="M2" s="16"/>
      <c r="N2" s="17"/>
      <c r="O2" s="18"/>
      <c r="Q2" s="19"/>
      <c r="R2" s="19" t="s">
        <v>3</v>
      </c>
      <c r="S2" s="20"/>
      <c r="U2" s="21" t="s">
        <v>4</v>
      </c>
      <c r="V2" s="21"/>
      <c r="W2" s="22"/>
      <c r="Y2" s="23" t="s">
        <v>5</v>
      </c>
      <c r="Z2" s="24"/>
      <c r="AB2" s="25" t="s">
        <v>6</v>
      </c>
      <c r="AC2" s="26"/>
      <c r="AD2" s="27"/>
      <c r="AE2" s="28" t="s">
        <v>7</v>
      </c>
      <c r="AF2" s="29"/>
      <c r="AG2" s="30"/>
      <c r="AH2" s="31" t="s">
        <v>8</v>
      </c>
      <c r="AI2" s="32"/>
      <c r="AJ2" s="32"/>
      <c r="AN2" s="5"/>
      <c r="AO2" s="5"/>
      <c r="AP2" s="5"/>
      <c r="AQ2" s="5"/>
      <c r="AR2" s="7"/>
      <c r="AS2" s="7"/>
      <c r="AT2" s="7"/>
      <c r="AU2" s="7"/>
      <c r="AV2" s="7"/>
    </row>
    <row r="3" spans="1:115" ht="15" customHeight="1" x14ac:dyDescent="0.3">
      <c r="A3" s="33" t="s">
        <v>9</v>
      </c>
      <c r="B3" s="34"/>
      <c r="C3" s="35"/>
      <c r="D3" s="34"/>
      <c r="E3" s="36"/>
      <c r="F3" s="37"/>
      <c r="G3" s="38" t="s">
        <v>10</v>
      </c>
      <c r="H3" s="39"/>
      <c r="I3" s="38"/>
      <c r="J3" s="38"/>
      <c r="K3" s="40"/>
      <c r="L3" s="41"/>
      <c r="M3" s="42"/>
      <c r="N3" s="43"/>
      <c r="O3" s="43"/>
      <c r="P3" s="44"/>
      <c r="Q3" s="45"/>
      <c r="R3" s="46"/>
      <c r="S3" s="117" t="s">
        <v>11</v>
      </c>
      <c r="T3" s="117"/>
      <c r="U3" s="118"/>
      <c r="V3" s="118"/>
      <c r="W3" s="118"/>
      <c r="X3" s="40"/>
      <c r="Y3" s="40"/>
      <c r="Z3" s="40"/>
      <c r="AA3" s="40"/>
      <c r="AB3" s="40"/>
      <c r="AC3" s="40"/>
      <c r="AD3" s="40"/>
      <c r="AE3" s="40"/>
      <c r="AF3" s="40"/>
      <c r="AG3" s="40"/>
      <c r="AH3" s="40"/>
      <c r="AI3" s="40"/>
      <c r="AJ3" s="40"/>
      <c r="AK3" s="47"/>
      <c r="AL3" s="35"/>
      <c r="AM3" s="48"/>
    </row>
    <row r="4" spans="1:115" s="1" customFormat="1" ht="22.5" customHeight="1" x14ac:dyDescent="0.3">
      <c r="A4" s="119" t="s">
        <v>12</v>
      </c>
      <c r="B4" s="119"/>
      <c r="C4" s="119"/>
      <c r="D4" s="119"/>
      <c r="E4" s="119"/>
      <c r="F4" s="49" t="s">
        <v>13</v>
      </c>
      <c r="G4" s="103" t="s">
        <v>14</v>
      </c>
      <c r="H4" s="104" t="s">
        <v>15</v>
      </c>
      <c r="I4" s="105" t="s">
        <v>15</v>
      </c>
      <c r="J4" s="104" t="s">
        <v>16</v>
      </c>
      <c r="K4" s="105" t="s">
        <v>17</v>
      </c>
      <c r="L4" s="104" t="s">
        <v>18</v>
      </c>
      <c r="M4" s="41" t="s">
        <v>19</v>
      </c>
      <c r="N4" s="106" t="s">
        <v>20</v>
      </c>
      <c r="O4" s="105" t="s">
        <v>21</v>
      </c>
      <c r="P4" s="112" t="s">
        <v>22</v>
      </c>
      <c r="Q4" s="112" t="s">
        <v>23</v>
      </c>
      <c r="R4" s="112" t="s">
        <v>24</v>
      </c>
      <c r="S4" s="120" t="s">
        <v>25</v>
      </c>
      <c r="T4" s="120" t="s">
        <v>26</v>
      </c>
      <c r="U4" s="51" t="s">
        <v>27</v>
      </c>
      <c r="V4" s="112" t="s">
        <v>28</v>
      </c>
      <c r="W4" s="112" t="s">
        <v>29</v>
      </c>
      <c r="X4" s="112" t="s">
        <v>30</v>
      </c>
      <c r="Y4" s="112" t="s">
        <v>31</v>
      </c>
      <c r="Z4" s="112" t="s">
        <v>32</v>
      </c>
      <c r="AA4" s="112" t="s">
        <v>33</v>
      </c>
      <c r="AB4" s="112" t="s">
        <v>34</v>
      </c>
      <c r="AC4" s="112" t="s">
        <v>35</v>
      </c>
      <c r="AD4" s="52" t="s">
        <v>36</v>
      </c>
      <c r="AE4" s="50" t="s">
        <v>37</v>
      </c>
      <c r="AF4" s="112" t="s">
        <v>38</v>
      </c>
      <c r="AG4" s="112" t="s">
        <v>39</v>
      </c>
      <c r="AH4" s="112" t="s">
        <v>40</v>
      </c>
      <c r="AI4" s="50" t="s">
        <v>41</v>
      </c>
      <c r="AJ4" s="50" t="s">
        <v>42</v>
      </c>
      <c r="AK4" s="113" t="s">
        <v>43</v>
      </c>
      <c r="AL4" s="33"/>
      <c r="AM4" s="48"/>
      <c r="AN4" s="5"/>
      <c r="AO4" s="5"/>
      <c r="AP4" s="5"/>
      <c r="AQ4" s="5"/>
      <c r="AR4" s="7"/>
      <c r="AS4" s="7"/>
      <c r="AT4" s="7"/>
      <c r="AU4" s="7"/>
      <c r="AV4" s="7"/>
      <c r="AW4"/>
      <c r="AX4"/>
      <c r="AY4"/>
      <c r="AZ4"/>
      <c r="BA4"/>
      <c r="BB4"/>
      <c r="BC4"/>
      <c r="BD4"/>
      <c r="BE4"/>
      <c r="BF4"/>
      <c r="BG4"/>
    </row>
    <row r="5" spans="1:115" s="1" customFormat="1" ht="18" customHeight="1" x14ac:dyDescent="0.3">
      <c r="A5" s="119"/>
      <c r="B5" s="119"/>
      <c r="C5" s="119"/>
      <c r="D5" s="119"/>
      <c r="E5" s="119"/>
      <c r="F5" s="49"/>
      <c r="G5" s="105" t="s">
        <v>44</v>
      </c>
      <c r="H5" s="104" t="s">
        <v>45</v>
      </c>
      <c r="I5" s="105" t="s">
        <v>44</v>
      </c>
      <c r="J5" s="104" t="s">
        <v>45</v>
      </c>
      <c r="K5" s="105" t="s">
        <v>44</v>
      </c>
      <c r="L5" s="104" t="s">
        <v>45</v>
      </c>
      <c r="M5" s="105" t="s">
        <v>44</v>
      </c>
      <c r="N5" s="107" t="s">
        <v>46</v>
      </c>
      <c r="O5" s="105" t="s">
        <v>44</v>
      </c>
      <c r="P5" s="112"/>
      <c r="Q5" s="112"/>
      <c r="R5" s="112"/>
      <c r="S5" s="120"/>
      <c r="T5" s="120"/>
      <c r="U5" s="53"/>
      <c r="V5" s="112"/>
      <c r="W5" s="112"/>
      <c r="X5" s="112"/>
      <c r="Y5" s="112"/>
      <c r="Z5" s="112"/>
      <c r="AA5" s="112"/>
      <c r="AB5" s="112"/>
      <c r="AC5" s="112"/>
      <c r="AD5" s="50" t="s">
        <v>47</v>
      </c>
      <c r="AE5" s="50" t="s">
        <v>48</v>
      </c>
      <c r="AF5" s="112"/>
      <c r="AG5" s="112"/>
      <c r="AH5" s="112"/>
      <c r="AI5" s="54" t="s">
        <v>47</v>
      </c>
      <c r="AJ5" s="54" t="s">
        <v>49</v>
      </c>
      <c r="AK5" s="113"/>
      <c r="AL5" s="33"/>
      <c r="AM5" s="48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</row>
    <row r="6" spans="1:115" s="1" customFormat="1" ht="15" customHeight="1" x14ac:dyDescent="0.3">
      <c r="A6" s="114" t="s">
        <v>57</v>
      </c>
      <c r="B6" s="115"/>
      <c r="C6" s="115"/>
      <c r="D6" s="115"/>
      <c r="E6" s="115"/>
      <c r="F6" s="55"/>
      <c r="G6" s="56"/>
      <c r="H6" s="57"/>
      <c r="I6" s="57"/>
      <c r="J6" s="57"/>
      <c r="K6" s="57"/>
      <c r="L6" s="57"/>
      <c r="M6" s="57"/>
      <c r="N6" s="58"/>
      <c r="O6" s="58"/>
      <c r="P6" s="59"/>
      <c r="Q6" s="55"/>
      <c r="R6" s="55"/>
      <c r="S6" s="60"/>
      <c r="T6" s="60"/>
      <c r="U6" s="61"/>
      <c r="V6" s="55"/>
      <c r="W6" s="55"/>
      <c r="X6" s="55"/>
      <c r="Y6" s="55"/>
      <c r="Z6" s="55"/>
      <c r="AA6" s="55"/>
      <c r="AB6" s="55"/>
      <c r="AC6" s="55"/>
      <c r="AD6" s="55"/>
      <c r="AE6" s="55"/>
      <c r="AF6" s="55"/>
      <c r="AG6" s="55"/>
      <c r="AH6" s="55"/>
      <c r="AI6" s="62"/>
      <c r="AJ6" s="62"/>
      <c r="AK6" s="63"/>
      <c r="AL6" s="64"/>
      <c r="AM6" s="48"/>
      <c r="AN6" s="5"/>
      <c r="AO6" s="5"/>
      <c r="AP6" s="5"/>
      <c r="AQ6" s="5"/>
      <c r="AR6" s="7"/>
      <c r="AS6" s="7"/>
      <c r="AT6" s="7"/>
      <c r="AU6" s="7"/>
      <c r="AV6" s="7"/>
      <c r="AW6"/>
      <c r="AX6"/>
      <c r="AY6"/>
      <c r="AZ6"/>
      <c r="BA6"/>
      <c r="BB6"/>
      <c r="BC6"/>
      <c r="BD6"/>
      <c r="BE6"/>
      <c r="BF6"/>
      <c r="BG6"/>
    </row>
    <row r="7" spans="1:115" ht="15" customHeight="1" x14ac:dyDescent="0.3">
      <c r="A7" s="65"/>
      <c r="B7" s="109"/>
      <c r="C7" s="110"/>
      <c r="D7" s="110"/>
      <c r="E7" s="111"/>
      <c r="F7" s="85"/>
      <c r="G7" s="86"/>
      <c r="H7" s="86"/>
      <c r="I7" s="86"/>
      <c r="J7" s="86"/>
      <c r="K7" s="86"/>
      <c r="L7" s="86"/>
      <c r="M7" s="86"/>
      <c r="N7" s="86"/>
      <c r="O7" s="86"/>
      <c r="P7" s="86"/>
      <c r="Q7" s="67">
        <f t="shared" ref="Q7:Q70" si="0">P7*0.02</f>
        <v>0</v>
      </c>
      <c r="R7" s="67">
        <f t="shared" ref="R7:R70" si="1">P7+Q7</f>
        <v>0</v>
      </c>
      <c r="S7" s="86"/>
      <c r="T7" s="86"/>
      <c r="U7" s="86"/>
      <c r="V7" s="86"/>
      <c r="W7" s="66">
        <f t="shared" ref="W7:W70" si="2">G7+I7+K7+M7+O7+R7+S7+T7+U7+V7</f>
        <v>0</v>
      </c>
      <c r="X7" s="96"/>
      <c r="Y7" s="68">
        <f t="shared" ref="Y7:Y70" si="3">X7*0.02</f>
        <v>0</v>
      </c>
      <c r="Z7" s="68">
        <f t="shared" ref="Z7:Z70" si="4">X7+Y7</f>
        <v>0</v>
      </c>
      <c r="AA7" s="72"/>
      <c r="AB7" s="68">
        <f>AA7*0.025</f>
        <v>0</v>
      </c>
      <c r="AC7" s="68">
        <f>AA7+AB7</f>
        <v>0</v>
      </c>
      <c r="AD7" s="68"/>
      <c r="AE7" s="55"/>
      <c r="AF7" s="69">
        <f t="shared" ref="AF7:AF73" si="5">W7+Z7+AC7+AD7+AE7</f>
        <v>0</v>
      </c>
      <c r="AG7" s="86"/>
      <c r="AH7" s="108"/>
      <c r="AI7" s="108"/>
      <c r="AJ7" s="108"/>
      <c r="AK7" s="70">
        <f t="shared" ref="AK7:AK70" si="6">AF7-AG7-AH7-AI7-AJ7</f>
        <v>0</v>
      </c>
      <c r="AL7" s="71"/>
      <c r="AM7" s="48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</row>
    <row r="8" spans="1:115" ht="15.75" customHeight="1" x14ac:dyDescent="0.3">
      <c r="A8" s="65"/>
      <c r="B8" s="109"/>
      <c r="C8" s="110"/>
      <c r="D8" s="110"/>
      <c r="E8" s="111"/>
      <c r="F8" s="85"/>
      <c r="G8" s="86"/>
      <c r="H8" s="86"/>
      <c r="I8" s="86"/>
      <c r="J8" s="86"/>
      <c r="K8" s="86"/>
      <c r="L8" s="86"/>
      <c r="M8" s="86"/>
      <c r="N8" s="86"/>
      <c r="O8" s="86"/>
      <c r="P8" s="86"/>
      <c r="Q8" s="67">
        <f t="shared" si="0"/>
        <v>0</v>
      </c>
      <c r="R8" s="67">
        <f t="shared" si="1"/>
        <v>0</v>
      </c>
      <c r="S8" s="86"/>
      <c r="T8" s="86"/>
      <c r="U8" s="86"/>
      <c r="V8" s="86"/>
      <c r="W8" s="66">
        <f t="shared" si="2"/>
        <v>0</v>
      </c>
      <c r="X8" s="97"/>
      <c r="Y8" s="68">
        <f t="shared" si="3"/>
        <v>0</v>
      </c>
      <c r="Z8" s="68">
        <f t="shared" si="4"/>
        <v>0</v>
      </c>
      <c r="AA8" s="72"/>
      <c r="AB8" s="68">
        <f t="shared" ref="AB8:AB73" si="7">AA8*0.025</f>
        <v>0</v>
      </c>
      <c r="AC8" s="68">
        <f t="shared" ref="AC8:AC73" si="8">AA8+AB8</f>
        <v>0</v>
      </c>
      <c r="AD8" s="68"/>
      <c r="AE8" s="55"/>
      <c r="AF8" s="69">
        <f t="shared" si="5"/>
        <v>0</v>
      </c>
      <c r="AG8" s="86"/>
      <c r="AH8" s="108"/>
      <c r="AI8" s="108"/>
      <c r="AJ8" s="108"/>
      <c r="AK8" s="70">
        <f t="shared" si="6"/>
        <v>0</v>
      </c>
      <c r="AL8" s="71"/>
      <c r="AM8" s="48"/>
      <c r="AN8" s="5"/>
      <c r="AO8" s="5"/>
      <c r="AP8" s="5"/>
      <c r="AQ8" s="5"/>
      <c r="AR8" s="7"/>
      <c r="AS8" s="7"/>
      <c r="AT8" s="7"/>
      <c r="AU8" s="7"/>
      <c r="AV8" s="7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</row>
    <row r="9" spans="1:115" ht="14.25" customHeight="1" x14ac:dyDescent="0.3">
      <c r="A9" s="65"/>
      <c r="B9" s="109"/>
      <c r="C9" s="110"/>
      <c r="D9" s="110"/>
      <c r="E9" s="111"/>
      <c r="F9" s="85"/>
      <c r="G9" s="86"/>
      <c r="H9" s="86"/>
      <c r="I9" s="86"/>
      <c r="J9" s="86"/>
      <c r="K9" s="86"/>
      <c r="L9" s="86"/>
      <c r="M9" s="86"/>
      <c r="N9" s="86"/>
      <c r="O9" s="86"/>
      <c r="P9" s="86"/>
      <c r="Q9" s="67">
        <f t="shared" si="0"/>
        <v>0</v>
      </c>
      <c r="R9" s="67">
        <f t="shared" si="1"/>
        <v>0</v>
      </c>
      <c r="S9" s="86"/>
      <c r="T9" s="86"/>
      <c r="U9" s="86"/>
      <c r="V9" s="86"/>
      <c r="W9" s="66">
        <f t="shared" si="2"/>
        <v>0</v>
      </c>
      <c r="X9" s="98"/>
      <c r="Y9" s="68">
        <f t="shared" si="3"/>
        <v>0</v>
      </c>
      <c r="Z9" s="68">
        <f t="shared" si="4"/>
        <v>0</v>
      </c>
      <c r="AA9" s="72"/>
      <c r="AB9" s="68">
        <f t="shared" si="7"/>
        <v>0</v>
      </c>
      <c r="AC9" s="68">
        <f t="shared" si="8"/>
        <v>0</v>
      </c>
      <c r="AD9" s="68"/>
      <c r="AE9" s="55"/>
      <c r="AF9" s="69">
        <f t="shared" si="5"/>
        <v>0</v>
      </c>
      <c r="AG9" s="86"/>
      <c r="AH9" s="108"/>
      <c r="AI9" s="108"/>
      <c r="AJ9" s="108"/>
      <c r="AK9" s="70">
        <f t="shared" si="6"/>
        <v>0</v>
      </c>
      <c r="AL9" s="71"/>
      <c r="AM9" s="48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</row>
    <row r="10" spans="1:115" ht="15" customHeight="1" x14ac:dyDescent="0.3">
      <c r="A10" s="65"/>
      <c r="B10" s="109"/>
      <c r="C10" s="110"/>
      <c r="D10" s="110"/>
      <c r="E10" s="111"/>
      <c r="F10" s="85"/>
      <c r="G10" s="86"/>
      <c r="H10" s="86"/>
      <c r="I10" s="86"/>
      <c r="J10" s="86"/>
      <c r="K10" s="86"/>
      <c r="L10" s="86"/>
      <c r="M10" s="86"/>
      <c r="N10" s="86"/>
      <c r="O10" s="86"/>
      <c r="P10" s="86"/>
      <c r="Q10" s="67">
        <f t="shared" si="0"/>
        <v>0</v>
      </c>
      <c r="R10" s="67">
        <f t="shared" si="1"/>
        <v>0</v>
      </c>
      <c r="S10" s="86"/>
      <c r="T10" s="86"/>
      <c r="U10" s="86"/>
      <c r="V10" s="86"/>
      <c r="W10" s="66">
        <f t="shared" si="2"/>
        <v>0</v>
      </c>
      <c r="X10" s="97"/>
      <c r="Y10" s="68">
        <f t="shared" si="3"/>
        <v>0</v>
      </c>
      <c r="Z10" s="68">
        <f t="shared" si="4"/>
        <v>0</v>
      </c>
      <c r="AA10" s="72"/>
      <c r="AB10" s="68">
        <f t="shared" si="7"/>
        <v>0</v>
      </c>
      <c r="AC10" s="68">
        <f t="shared" si="8"/>
        <v>0</v>
      </c>
      <c r="AD10" s="68"/>
      <c r="AE10" s="55"/>
      <c r="AF10" s="69">
        <f t="shared" si="5"/>
        <v>0</v>
      </c>
      <c r="AG10" s="86"/>
      <c r="AH10" s="108"/>
      <c r="AI10" s="108"/>
      <c r="AJ10" s="108"/>
      <c r="AK10" s="70">
        <f t="shared" si="6"/>
        <v>0</v>
      </c>
      <c r="AL10" s="71"/>
      <c r="AM10" s="48"/>
      <c r="AN10" s="5"/>
      <c r="AO10" s="5"/>
      <c r="AP10" s="5"/>
      <c r="AQ10" s="5"/>
      <c r="AR10" s="7"/>
      <c r="AS10" s="7"/>
      <c r="AT10" s="7"/>
      <c r="AU10" s="7"/>
      <c r="AV10" s="7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</row>
    <row r="11" spans="1:115" s="42" customFormat="1" ht="15" customHeight="1" x14ac:dyDescent="0.3">
      <c r="A11" s="65"/>
      <c r="B11" s="109"/>
      <c r="C11" s="110"/>
      <c r="D11" s="110"/>
      <c r="E11" s="111"/>
      <c r="F11" s="93"/>
      <c r="G11" s="86"/>
      <c r="H11" s="86"/>
      <c r="I11" s="86"/>
      <c r="J11" s="86"/>
      <c r="K11" s="86"/>
      <c r="L11" s="86"/>
      <c r="M11" s="86"/>
      <c r="N11" s="86"/>
      <c r="O11" s="86"/>
      <c r="P11" s="86"/>
      <c r="Q11" s="67">
        <f t="shared" si="0"/>
        <v>0</v>
      </c>
      <c r="R11" s="67">
        <f t="shared" si="1"/>
        <v>0</v>
      </c>
      <c r="S11" s="86"/>
      <c r="T11" s="86"/>
      <c r="U11" s="86"/>
      <c r="V11" s="86"/>
      <c r="W11" s="66">
        <f t="shared" si="2"/>
        <v>0</v>
      </c>
      <c r="X11" s="99"/>
      <c r="Y11" s="68">
        <f t="shared" si="3"/>
        <v>0</v>
      </c>
      <c r="Z11" s="68">
        <f t="shared" si="4"/>
        <v>0</v>
      </c>
      <c r="AA11" s="72"/>
      <c r="AB11" s="68">
        <f t="shared" si="7"/>
        <v>0</v>
      </c>
      <c r="AC11" s="68">
        <f t="shared" si="8"/>
        <v>0</v>
      </c>
      <c r="AD11" s="68"/>
      <c r="AE11" s="55"/>
      <c r="AF11" s="69">
        <f t="shared" si="5"/>
        <v>0</v>
      </c>
      <c r="AG11" s="86"/>
      <c r="AH11" s="108"/>
      <c r="AI11" s="108"/>
      <c r="AJ11" s="108"/>
      <c r="AK11" s="70">
        <f t="shared" si="6"/>
        <v>0</v>
      </c>
      <c r="AL11" s="71"/>
      <c r="AM11" s="48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</row>
    <row r="12" spans="1:115" s="74" customFormat="1" ht="15" customHeight="1" x14ac:dyDescent="0.3">
      <c r="A12" s="65"/>
      <c r="B12" s="109"/>
      <c r="C12" s="110"/>
      <c r="D12" s="110"/>
      <c r="E12" s="111"/>
      <c r="F12" s="93"/>
      <c r="G12" s="86"/>
      <c r="H12" s="86"/>
      <c r="I12" s="86"/>
      <c r="J12" s="86"/>
      <c r="K12" s="86"/>
      <c r="L12" s="86"/>
      <c r="M12" s="86"/>
      <c r="N12" s="86"/>
      <c r="O12" s="86"/>
      <c r="P12" s="87"/>
      <c r="Q12" s="67">
        <f t="shared" si="0"/>
        <v>0</v>
      </c>
      <c r="R12" s="67">
        <f t="shared" si="1"/>
        <v>0</v>
      </c>
      <c r="S12" s="86"/>
      <c r="T12" s="86"/>
      <c r="U12" s="86"/>
      <c r="V12" s="86"/>
      <c r="W12" s="66">
        <f t="shared" si="2"/>
        <v>0</v>
      </c>
      <c r="X12" s="96"/>
      <c r="Y12" s="68">
        <f t="shared" si="3"/>
        <v>0</v>
      </c>
      <c r="Z12" s="68">
        <f t="shared" si="4"/>
        <v>0</v>
      </c>
      <c r="AA12" s="72"/>
      <c r="AB12" s="68">
        <f t="shared" si="7"/>
        <v>0</v>
      </c>
      <c r="AC12" s="68">
        <f t="shared" si="8"/>
        <v>0</v>
      </c>
      <c r="AD12" s="68"/>
      <c r="AE12" s="55"/>
      <c r="AF12" s="69">
        <f t="shared" si="5"/>
        <v>0</v>
      </c>
      <c r="AG12" s="86"/>
      <c r="AH12" s="108"/>
      <c r="AI12" s="108"/>
      <c r="AJ12" s="108"/>
      <c r="AK12" s="70">
        <f t="shared" si="6"/>
        <v>0</v>
      </c>
      <c r="AL12" s="71"/>
      <c r="AM12" s="48"/>
      <c r="AN12" s="5"/>
      <c r="AO12" s="5"/>
      <c r="AP12" s="5"/>
      <c r="AQ12" s="5"/>
      <c r="AR12" s="7"/>
      <c r="AS12" s="7"/>
      <c r="AT12" s="7"/>
      <c r="AU12" s="7"/>
      <c r="AV12" s="7"/>
      <c r="AW12"/>
      <c r="AX12"/>
      <c r="AY12"/>
      <c r="AZ12"/>
      <c r="BA12"/>
      <c r="BB12"/>
      <c r="BC12"/>
      <c r="BD12"/>
      <c r="BE12"/>
      <c r="BF12"/>
      <c r="BG12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</row>
    <row r="13" spans="1:115" s="42" customFormat="1" ht="15" customHeight="1" x14ac:dyDescent="0.3">
      <c r="A13" s="65"/>
      <c r="B13" s="109"/>
      <c r="C13" s="110"/>
      <c r="D13" s="110"/>
      <c r="E13" s="111"/>
      <c r="F13" s="93"/>
      <c r="G13" s="86"/>
      <c r="H13" s="86"/>
      <c r="I13" s="86"/>
      <c r="J13" s="86"/>
      <c r="K13" s="86"/>
      <c r="L13" s="86"/>
      <c r="M13" s="86"/>
      <c r="N13" s="86"/>
      <c r="O13" s="86"/>
      <c r="P13" s="86"/>
      <c r="Q13" s="67">
        <f t="shared" si="0"/>
        <v>0</v>
      </c>
      <c r="R13" s="67">
        <f t="shared" si="1"/>
        <v>0</v>
      </c>
      <c r="S13" s="86"/>
      <c r="T13" s="86"/>
      <c r="U13" s="86"/>
      <c r="V13" s="86"/>
      <c r="W13" s="66">
        <f t="shared" si="2"/>
        <v>0</v>
      </c>
      <c r="X13" s="96"/>
      <c r="Y13" s="68">
        <f t="shared" si="3"/>
        <v>0</v>
      </c>
      <c r="Z13" s="68">
        <f t="shared" si="4"/>
        <v>0</v>
      </c>
      <c r="AA13" s="72"/>
      <c r="AB13" s="68">
        <f t="shared" si="7"/>
        <v>0</v>
      </c>
      <c r="AC13" s="68">
        <f t="shared" si="8"/>
        <v>0</v>
      </c>
      <c r="AD13" s="68"/>
      <c r="AE13" s="55"/>
      <c r="AF13" s="69">
        <f t="shared" si="5"/>
        <v>0</v>
      </c>
      <c r="AG13" s="86"/>
      <c r="AH13" s="108"/>
      <c r="AI13" s="108"/>
      <c r="AJ13" s="108"/>
      <c r="AK13" s="70">
        <f t="shared" si="6"/>
        <v>0</v>
      </c>
      <c r="AL13" s="71"/>
      <c r="AM13" s="48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</row>
    <row r="14" spans="1:115" ht="15" customHeight="1" x14ac:dyDescent="0.3">
      <c r="A14" s="65"/>
      <c r="B14" s="109"/>
      <c r="C14" s="110"/>
      <c r="D14" s="110"/>
      <c r="E14" s="111"/>
      <c r="F14" s="88"/>
      <c r="G14" s="86"/>
      <c r="H14" s="86"/>
      <c r="I14" s="86"/>
      <c r="J14" s="86"/>
      <c r="K14" s="86"/>
      <c r="L14" s="86"/>
      <c r="M14" s="86"/>
      <c r="N14" s="86"/>
      <c r="O14" s="86"/>
      <c r="P14" s="86"/>
      <c r="Q14" s="67">
        <f t="shared" si="0"/>
        <v>0</v>
      </c>
      <c r="R14" s="67">
        <f t="shared" si="1"/>
        <v>0</v>
      </c>
      <c r="S14" s="86"/>
      <c r="T14" s="86"/>
      <c r="U14" s="86"/>
      <c r="V14" s="86"/>
      <c r="W14" s="66">
        <f t="shared" si="2"/>
        <v>0</v>
      </c>
      <c r="X14" s="97"/>
      <c r="Y14" s="68">
        <f t="shared" si="3"/>
        <v>0</v>
      </c>
      <c r="Z14" s="68">
        <f t="shared" si="4"/>
        <v>0</v>
      </c>
      <c r="AA14" s="72"/>
      <c r="AB14" s="68">
        <f t="shared" si="7"/>
        <v>0</v>
      </c>
      <c r="AC14" s="68">
        <f t="shared" si="8"/>
        <v>0</v>
      </c>
      <c r="AD14" s="68"/>
      <c r="AE14" s="55"/>
      <c r="AF14" s="69">
        <f t="shared" si="5"/>
        <v>0</v>
      </c>
      <c r="AG14" s="86"/>
      <c r="AH14" s="108"/>
      <c r="AI14" s="108"/>
      <c r="AJ14" s="108"/>
      <c r="AK14" s="70">
        <f t="shared" si="6"/>
        <v>0</v>
      </c>
      <c r="AL14" s="71"/>
      <c r="AM14" s="48"/>
      <c r="AN14" s="5"/>
      <c r="AO14" s="5"/>
      <c r="AP14" s="5"/>
      <c r="AQ14" s="5"/>
      <c r="AR14" s="7"/>
      <c r="AS14" s="7"/>
      <c r="AT14" s="7"/>
      <c r="AU14" s="7"/>
      <c r="AV14" s="7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</row>
    <row r="15" spans="1:115" ht="15" customHeight="1" x14ac:dyDescent="0.3">
      <c r="A15" s="65"/>
      <c r="B15" s="109"/>
      <c r="C15" s="110"/>
      <c r="D15" s="110"/>
      <c r="E15" s="111"/>
      <c r="F15" s="85"/>
      <c r="G15" s="86"/>
      <c r="H15" s="86"/>
      <c r="I15" s="86"/>
      <c r="J15" s="86"/>
      <c r="K15" s="86"/>
      <c r="L15" s="86"/>
      <c r="M15" s="86"/>
      <c r="N15" s="86"/>
      <c r="O15" s="86"/>
      <c r="P15" s="86"/>
      <c r="Q15" s="67">
        <f t="shared" si="0"/>
        <v>0</v>
      </c>
      <c r="R15" s="67">
        <f t="shared" si="1"/>
        <v>0</v>
      </c>
      <c r="S15" s="86"/>
      <c r="T15" s="86"/>
      <c r="U15" s="86"/>
      <c r="V15" s="86"/>
      <c r="W15" s="66">
        <f t="shared" si="2"/>
        <v>0</v>
      </c>
      <c r="X15" s="97"/>
      <c r="Y15" s="68">
        <f t="shared" si="3"/>
        <v>0</v>
      </c>
      <c r="Z15" s="68">
        <f t="shared" si="4"/>
        <v>0</v>
      </c>
      <c r="AA15" s="72"/>
      <c r="AB15" s="68">
        <f t="shared" si="7"/>
        <v>0</v>
      </c>
      <c r="AC15" s="68">
        <f t="shared" si="8"/>
        <v>0</v>
      </c>
      <c r="AD15" s="68"/>
      <c r="AE15" s="55"/>
      <c r="AF15" s="69">
        <f t="shared" si="5"/>
        <v>0</v>
      </c>
      <c r="AG15" s="86"/>
      <c r="AH15" s="108"/>
      <c r="AI15" s="108"/>
      <c r="AJ15" s="108"/>
      <c r="AK15" s="70">
        <f t="shared" si="6"/>
        <v>0</v>
      </c>
      <c r="AL15" s="71"/>
      <c r="AM15" s="48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</row>
    <row r="16" spans="1:115" s="74" customFormat="1" ht="15" customHeight="1" x14ac:dyDescent="0.3">
      <c r="A16" s="65"/>
      <c r="B16" s="109"/>
      <c r="C16" s="110"/>
      <c r="D16" s="110"/>
      <c r="E16" s="111"/>
      <c r="F16" s="93"/>
      <c r="G16" s="86"/>
      <c r="H16" s="86"/>
      <c r="I16" s="86"/>
      <c r="J16" s="86"/>
      <c r="K16" s="86"/>
      <c r="L16" s="86"/>
      <c r="M16" s="86"/>
      <c r="N16" s="86"/>
      <c r="O16" s="86"/>
      <c r="P16" s="87"/>
      <c r="Q16" s="67">
        <f t="shared" si="0"/>
        <v>0</v>
      </c>
      <c r="R16" s="67">
        <f t="shared" si="1"/>
        <v>0</v>
      </c>
      <c r="S16" s="86"/>
      <c r="T16" s="86"/>
      <c r="U16" s="86"/>
      <c r="V16" s="86"/>
      <c r="W16" s="66">
        <f t="shared" si="2"/>
        <v>0</v>
      </c>
      <c r="X16" s="99"/>
      <c r="Y16" s="68">
        <f t="shared" si="3"/>
        <v>0</v>
      </c>
      <c r="Z16" s="68">
        <f t="shared" si="4"/>
        <v>0</v>
      </c>
      <c r="AA16" s="72"/>
      <c r="AB16" s="68">
        <f t="shared" si="7"/>
        <v>0</v>
      </c>
      <c r="AC16" s="68">
        <f t="shared" si="8"/>
        <v>0</v>
      </c>
      <c r="AD16" s="68"/>
      <c r="AE16" s="55"/>
      <c r="AF16" s="69">
        <f t="shared" si="5"/>
        <v>0</v>
      </c>
      <c r="AG16" s="86"/>
      <c r="AH16" s="108"/>
      <c r="AI16" s="108"/>
      <c r="AJ16" s="108"/>
      <c r="AK16" s="70">
        <f t="shared" si="6"/>
        <v>0</v>
      </c>
      <c r="AL16" s="71"/>
      <c r="AM16" s="48"/>
      <c r="AN16" s="5"/>
      <c r="AO16" s="5"/>
      <c r="AP16" s="5"/>
      <c r="AQ16" s="5"/>
      <c r="AR16" s="7"/>
      <c r="AS16" s="7"/>
      <c r="AT16" s="7"/>
      <c r="AU16" s="7"/>
      <c r="AV16" s="7"/>
      <c r="AW16"/>
      <c r="AX16"/>
      <c r="AY16"/>
      <c r="AZ16"/>
      <c r="BA16"/>
      <c r="BB16"/>
      <c r="BC16"/>
      <c r="BD16"/>
      <c r="BE16"/>
      <c r="BF16"/>
      <c r="BG16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</row>
    <row r="17" spans="1:115" ht="15" customHeight="1" x14ac:dyDescent="0.3">
      <c r="A17" s="65"/>
      <c r="B17" s="109"/>
      <c r="C17" s="110"/>
      <c r="D17" s="110"/>
      <c r="E17" s="111"/>
      <c r="F17" s="85"/>
      <c r="G17" s="86"/>
      <c r="H17" s="86"/>
      <c r="I17" s="86"/>
      <c r="J17" s="86"/>
      <c r="K17" s="86"/>
      <c r="L17" s="86"/>
      <c r="M17" s="86"/>
      <c r="N17" s="86"/>
      <c r="O17" s="86"/>
      <c r="P17" s="87"/>
      <c r="Q17" s="67">
        <f t="shared" si="0"/>
        <v>0</v>
      </c>
      <c r="R17" s="67">
        <f t="shared" si="1"/>
        <v>0</v>
      </c>
      <c r="S17" s="86"/>
      <c r="T17" s="86"/>
      <c r="U17" s="86"/>
      <c r="V17" s="86"/>
      <c r="W17" s="66">
        <f>G17+I17+K17+M17+O17+R17+S17+T17+U17+V17</f>
        <v>0</v>
      </c>
      <c r="X17" s="100"/>
      <c r="Y17" s="68">
        <f t="shared" si="3"/>
        <v>0</v>
      </c>
      <c r="Z17" s="68">
        <f t="shared" si="4"/>
        <v>0</v>
      </c>
      <c r="AA17" s="72"/>
      <c r="AB17" s="68">
        <f t="shared" si="7"/>
        <v>0</v>
      </c>
      <c r="AC17" s="68">
        <f t="shared" si="8"/>
        <v>0</v>
      </c>
      <c r="AD17" s="68"/>
      <c r="AE17" s="55"/>
      <c r="AF17" s="69">
        <f t="shared" si="5"/>
        <v>0</v>
      </c>
      <c r="AG17" s="86"/>
      <c r="AH17" s="108"/>
      <c r="AI17" s="108"/>
      <c r="AJ17" s="108"/>
      <c r="AK17" s="70">
        <f t="shared" si="6"/>
        <v>0</v>
      </c>
      <c r="AL17" s="71"/>
      <c r="AM17" s="48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</row>
    <row r="18" spans="1:115" ht="15" customHeight="1" x14ac:dyDescent="0.3">
      <c r="A18" s="65"/>
      <c r="B18" s="109"/>
      <c r="C18" s="110"/>
      <c r="D18" s="110"/>
      <c r="E18" s="111"/>
      <c r="F18" s="88"/>
      <c r="G18" s="86"/>
      <c r="H18" s="86"/>
      <c r="I18" s="86"/>
      <c r="J18" s="86"/>
      <c r="K18" s="86"/>
      <c r="L18" s="86"/>
      <c r="M18" s="86"/>
      <c r="N18" s="86"/>
      <c r="O18" s="86"/>
      <c r="P18" s="89"/>
      <c r="Q18" s="67">
        <f t="shared" si="0"/>
        <v>0</v>
      </c>
      <c r="R18" s="67">
        <f t="shared" si="1"/>
        <v>0</v>
      </c>
      <c r="S18" s="86"/>
      <c r="T18" s="86"/>
      <c r="U18" s="86"/>
      <c r="V18" s="86"/>
      <c r="W18" s="66">
        <f t="shared" si="2"/>
        <v>0</v>
      </c>
      <c r="X18" s="96"/>
      <c r="Y18" s="68">
        <f t="shared" si="3"/>
        <v>0</v>
      </c>
      <c r="Z18" s="68">
        <f t="shared" si="4"/>
        <v>0</v>
      </c>
      <c r="AA18" s="72"/>
      <c r="AB18" s="68">
        <f t="shared" si="7"/>
        <v>0</v>
      </c>
      <c r="AC18" s="68">
        <f t="shared" si="8"/>
        <v>0</v>
      </c>
      <c r="AD18" s="68"/>
      <c r="AE18" s="55"/>
      <c r="AF18" s="69">
        <f t="shared" si="5"/>
        <v>0</v>
      </c>
      <c r="AG18" s="86"/>
      <c r="AH18" s="108"/>
      <c r="AI18" s="108"/>
      <c r="AJ18" s="108"/>
      <c r="AK18" s="70">
        <f t="shared" si="6"/>
        <v>0</v>
      </c>
      <c r="AL18" s="71"/>
      <c r="AM18" s="48"/>
      <c r="AN18" s="5"/>
      <c r="AO18" s="5"/>
      <c r="AP18" s="5"/>
      <c r="AQ18" s="5"/>
      <c r="AR18" s="7"/>
      <c r="AS18" s="7"/>
      <c r="AT18" s="7"/>
      <c r="AU18" s="7"/>
      <c r="AV18" s="7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</row>
    <row r="19" spans="1:115" ht="15" customHeight="1" x14ac:dyDescent="0.3">
      <c r="A19" s="65"/>
      <c r="B19" s="109"/>
      <c r="C19" s="110"/>
      <c r="D19" s="110"/>
      <c r="E19" s="111"/>
      <c r="F19" s="88" t="s">
        <v>51</v>
      </c>
      <c r="G19" s="86"/>
      <c r="H19" s="86"/>
      <c r="I19" s="86"/>
      <c r="J19" s="86"/>
      <c r="K19" s="86"/>
      <c r="L19" s="86"/>
      <c r="M19" s="86"/>
      <c r="N19" s="86"/>
      <c r="O19" s="86"/>
      <c r="P19" s="86"/>
      <c r="Q19" s="67">
        <f t="shared" si="0"/>
        <v>0</v>
      </c>
      <c r="R19" s="67">
        <f t="shared" si="1"/>
        <v>0</v>
      </c>
      <c r="S19" s="86"/>
      <c r="T19" s="86"/>
      <c r="U19" s="86"/>
      <c r="V19" s="86"/>
      <c r="W19" s="66">
        <f t="shared" si="2"/>
        <v>0</v>
      </c>
      <c r="X19" s="97"/>
      <c r="Y19" s="68">
        <f t="shared" si="3"/>
        <v>0</v>
      </c>
      <c r="Z19" s="68">
        <f t="shared" si="4"/>
        <v>0</v>
      </c>
      <c r="AA19" s="72"/>
      <c r="AB19" s="68">
        <f t="shared" si="7"/>
        <v>0</v>
      </c>
      <c r="AC19" s="68">
        <f t="shared" si="8"/>
        <v>0</v>
      </c>
      <c r="AD19" s="68"/>
      <c r="AE19" s="55"/>
      <c r="AF19" s="69">
        <f t="shared" si="5"/>
        <v>0</v>
      </c>
      <c r="AG19" s="86"/>
      <c r="AH19" s="108"/>
      <c r="AI19" s="108"/>
      <c r="AJ19" s="108"/>
      <c r="AK19" s="70">
        <f t="shared" si="6"/>
        <v>0</v>
      </c>
      <c r="AL19" s="71"/>
      <c r="AM19" s="48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</row>
    <row r="20" spans="1:115" ht="15" customHeight="1" x14ac:dyDescent="0.3">
      <c r="A20" s="65"/>
      <c r="B20" s="109"/>
      <c r="C20" s="110"/>
      <c r="D20" s="110"/>
      <c r="E20" s="111"/>
      <c r="F20" s="85"/>
      <c r="G20" s="86"/>
      <c r="H20" s="86"/>
      <c r="I20" s="86"/>
      <c r="J20" s="86"/>
      <c r="K20" s="86"/>
      <c r="L20" s="86"/>
      <c r="M20" s="86"/>
      <c r="N20" s="86"/>
      <c r="O20" s="86"/>
      <c r="P20" s="86"/>
      <c r="Q20" s="67">
        <f t="shared" si="0"/>
        <v>0</v>
      </c>
      <c r="R20" s="67">
        <f t="shared" si="1"/>
        <v>0</v>
      </c>
      <c r="S20" s="86"/>
      <c r="T20" s="86"/>
      <c r="U20" s="86"/>
      <c r="V20" s="86"/>
      <c r="W20" s="66">
        <f t="shared" si="2"/>
        <v>0</v>
      </c>
      <c r="X20" s="98"/>
      <c r="Y20" s="68">
        <f t="shared" si="3"/>
        <v>0</v>
      </c>
      <c r="Z20" s="68">
        <f t="shared" si="4"/>
        <v>0</v>
      </c>
      <c r="AA20" s="72"/>
      <c r="AB20" s="68">
        <f t="shared" si="7"/>
        <v>0</v>
      </c>
      <c r="AC20" s="68">
        <f t="shared" si="8"/>
        <v>0</v>
      </c>
      <c r="AD20" s="68"/>
      <c r="AE20" s="55"/>
      <c r="AF20" s="69">
        <f t="shared" si="5"/>
        <v>0</v>
      </c>
      <c r="AG20" s="86"/>
      <c r="AH20" s="108"/>
      <c r="AI20" s="108"/>
      <c r="AJ20" s="108"/>
      <c r="AK20" s="70">
        <f t="shared" si="6"/>
        <v>0</v>
      </c>
      <c r="AL20" s="71"/>
      <c r="AM20" s="48"/>
      <c r="AN20" s="5"/>
      <c r="AO20" s="5"/>
      <c r="AP20" s="5"/>
      <c r="AQ20" s="5"/>
      <c r="AR20" s="7"/>
      <c r="AS20" s="7"/>
      <c r="AT20" s="7"/>
      <c r="AU20" s="7"/>
      <c r="AV20" s="7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</row>
    <row r="21" spans="1:115" s="42" customFormat="1" ht="15" customHeight="1" x14ac:dyDescent="0.3">
      <c r="A21" s="65"/>
      <c r="B21" s="109"/>
      <c r="C21" s="110"/>
      <c r="D21" s="110"/>
      <c r="E21" s="111"/>
      <c r="F21" s="85"/>
      <c r="G21" s="86"/>
      <c r="H21" s="86"/>
      <c r="I21" s="86"/>
      <c r="J21" s="86"/>
      <c r="K21" s="86"/>
      <c r="L21" s="86"/>
      <c r="M21" s="86"/>
      <c r="N21" s="86"/>
      <c r="O21" s="86"/>
      <c r="P21" s="87"/>
      <c r="Q21" s="67">
        <f t="shared" si="0"/>
        <v>0</v>
      </c>
      <c r="R21" s="67">
        <f t="shared" si="1"/>
        <v>0</v>
      </c>
      <c r="S21" s="86"/>
      <c r="T21" s="86"/>
      <c r="U21" s="86"/>
      <c r="V21" s="86"/>
      <c r="W21" s="66">
        <f t="shared" si="2"/>
        <v>0</v>
      </c>
      <c r="X21" s="99"/>
      <c r="Y21" s="68">
        <f t="shared" si="3"/>
        <v>0</v>
      </c>
      <c r="Z21" s="68">
        <f t="shared" si="4"/>
        <v>0</v>
      </c>
      <c r="AA21" s="72"/>
      <c r="AB21" s="68">
        <f t="shared" si="7"/>
        <v>0</v>
      </c>
      <c r="AC21" s="68">
        <f t="shared" si="8"/>
        <v>0</v>
      </c>
      <c r="AD21" s="68"/>
      <c r="AE21" s="55"/>
      <c r="AF21" s="69">
        <f t="shared" si="5"/>
        <v>0</v>
      </c>
      <c r="AG21" s="86"/>
      <c r="AH21" s="108"/>
      <c r="AI21" s="108"/>
      <c r="AJ21" s="108"/>
      <c r="AK21" s="70">
        <f t="shared" si="6"/>
        <v>0</v>
      </c>
      <c r="AL21" s="71"/>
      <c r="AM21" s="48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</row>
    <row r="22" spans="1:115" ht="15" customHeight="1" x14ac:dyDescent="0.3">
      <c r="A22" s="65"/>
      <c r="B22" s="109"/>
      <c r="C22" s="110"/>
      <c r="D22" s="110"/>
      <c r="E22" s="111"/>
      <c r="F22" s="85"/>
      <c r="G22" s="86"/>
      <c r="H22" s="86"/>
      <c r="I22" s="86"/>
      <c r="J22" s="86"/>
      <c r="K22" s="86"/>
      <c r="L22" s="86"/>
      <c r="M22" s="86"/>
      <c r="N22" s="86"/>
      <c r="O22" s="86"/>
      <c r="P22" s="86"/>
      <c r="Q22" s="67">
        <f t="shared" si="0"/>
        <v>0</v>
      </c>
      <c r="R22" s="67">
        <f t="shared" si="1"/>
        <v>0</v>
      </c>
      <c r="S22" s="86"/>
      <c r="T22" s="86"/>
      <c r="U22" s="86"/>
      <c r="V22" s="86"/>
      <c r="W22" s="66">
        <f t="shared" si="2"/>
        <v>0</v>
      </c>
      <c r="X22" s="98"/>
      <c r="Y22" s="68">
        <f t="shared" si="3"/>
        <v>0</v>
      </c>
      <c r="Z22" s="68">
        <f t="shared" si="4"/>
        <v>0</v>
      </c>
      <c r="AA22" s="72"/>
      <c r="AB22" s="68">
        <f t="shared" si="7"/>
        <v>0</v>
      </c>
      <c r="AC22" s="68">
        <f t="shared" si="8"/>
        <v>0</v>
      </c>
      <c r="AD22" s="68"/>
      <c r="AE22" s="55"/>
      <c r="AF22" s="69">
        <f t="shared" si="5"/>
        <v>0</v>
      </c>
      <c r="AG22" s="86"/>
      <c r="AH22" s="108"/>
      <c r="AI22" s="108"/>
      <c r="AJ22" s="108"/>
      <c r="AK22" s="70">
        <f t="shared" si="6"/>
        <v>0</v>
      </c>
      <c r="AL22" s="71"/>
      <c r="AM22" s="48"/>
      <c r="AN22" s="5"/>
      <c r="AO22" s="5"/>
      <c r="AP22" s="5"/>
      <c r="AQ22" s="5"/>
      <c r="AR22" s="7"/>
      <c r="AS22" s="7"/>
      <c r="AT22" s="7"/>
      <c r="AU22" s="7"/>
      <c r="AV22" s="7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</row>
    <row r="23" spans="1:115" ht="15" customHeight="1" x14ac:dyDescent="0.3">
      <c r="A23" s="65"/>
      <c r="B23" s="109"/>
      <c r="C23" s="110"/>
      <c r="D23" s="110"/>
      <c r="E23" s="111"/>
      <c r="F23" s="85"/>
      <c r="G23" s="86"/>
      <c r="H23" s="86"/>
      <c r="I23" s="86"/>
      <c r="J23" s="86"/>
      <c r="K23" s="86"/>
      <c r="L23" s="86"/>
      <c r="M23" s="86"/>
      <c r="N23" s="86"/>
      <c r="O23" s="86"/>
      <c r="P23" s="86"/>
      <c r="Q23" s="67">
        <f t="shared" si="0"/>
        <v>0</v>
      </c>
      <c r="R23" s="67">
        <f t="shared" si="1"/>
        <v>0</v>
      </c>
      <c r="S23" s="86"/>
      <c r="T23" s="86"/>
      <c r="U23" s="86"/>
      <c r="V23" s="86"/>
      <c r="W23" s="66">
        <f t="shared" si="2"/>
        <v>0</v>
      </c>
      <c r="X23" s="98"/>
      <c r="Y23" s="68">
        <f t="shared" si="3"/>
        <v>0</v>
      </c>
      <c r="Z23" s="68">
        <f t="shared" si="4"/>
        <v>0</v>
      </c>
      <c r="AA23" s="72"/>
      <c r="AB23" s="68">
        <f t="shared" si="7"/>
        <v>0</v>
      </c>
      <c r="AC23" s="68">
        <f t="shared" si="8"/>
        <v>0</v>
      </c>
      <c r="AD23" s="68"/>
      <c r="AE23" s="55"/>
      <c r="AF23" s="69">
        <f t="shared" si="5"/>
        <v>0</v>
      </c>
      <c r="AG23" s="86"/>
      <c r="AH23" s="108"/>
      <c r="AI23" s="108"/>
      <c r="AJ23" s="108"/>
      <c r="AK23" s="70">
        <f t="shared" si="6"/>
        <v>0</v>
      </c>
      <c r="AL23" s="71"/>
      <c r="AM23" s="48"/>
      <c r="AN23" s="5"/>
      <c r="AO23" s="5"/>
      <c r="AP23" s="5"/>
      <c r="AQ23" s="5"/>
      <c r="AR23" s="7"/>
      <c r="AS23" s="7"/>
      <c r="AT23" s="7"/>
      <c r="AU23" s="7"/>
      <c r="AV23" s="7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</row>
    <row r="24" spans="1:115" ht="15" customHeight="1" x14ac:dyDescent="0.3">
      <c r="A24" s="65"/>
      <c r="B24" s="109"/>
      <c r="C24" s="110"/>
      <c r="D24" s="110"/>
      <c r="E24" s="111"/>
      <c r="F24" s="85"/>
      <c r="G24" s="86"/>
      <c r="H24" s="86"/>
      <c r="I24" s="86"/>
      <c r="J24" s="86"/>
      <c r="K24" s="86"/>
      <c r="L24" s="86"/>
      <c r="M24" s="86"/>
      <c r="N24" s="86"/>
      <c r="O24" s="86"/>
      <c r="P24" s="86"/>
      <c r="Q24" s="67">
        <f t="shared" si="0"/>
        <v>0</v>
      </c>
      <c r="R24" s="67">
        <f t="shared" si="1"/>
        <v>0</v>
      </c>
      <c r="S24" s="86"/>
      <c r="T24" s="86"/>
      <c r="U24" s="86"/>
      <c r="V24" s="86"/>
      <c r="W24" s="66">
        <f t="shared" si="2"/>
        <v>0</v>
      </c>
      <c r="X24" s="98"/>
      <c r="Y24" s="68">
        <f t="shared" si="3"/>
        <v>0</v>
      </c>
      <c r="Z24" s="68">
        <f t="shared" si="4"/>
        <v>0</v>
      </c>
      <c r="AA24" s="72"/>
      <c r="AB24" s="68">
        <f t="shared" si="7"/>
        <v>0</v>
      </c>
      <c r="AC24" s="68">
        <f t="shared" si="8"/>
        <v>0</v>
      </c>
      <c r="AD24" s="68"/>
      <c r="AE24" s="55"/>
      <c r="AF24" s="69">
        <f t="shared" si="5"/>
        <v>0</v>
      </c>
      <c r="AG24" s="86"/>
      <c r="AH24" s="108"/>
      <c r="AI24" s="108"/>
      <c r="AJ24" s="108"/>
      <c r="AK24" s="70">
        <f t="shared" si="6"/>
        <v>0</v>
      </c>
      <c r="AL24" s="71"/>
      <c r="AM24" s="48"/>
      <c r="AN24" s="5"/>
      <c r="AO24" s="5"/>
      <c r="AP24" s="5"/>
      <c r="AQ24" s="5"/>
      <c r="AR24" s="7"/>
      <c r="AS24" s="7"/>
      <c r="AT24" s="7"/>
      <c r="AU24" s="7"/>
      <c r="AV24" s="7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</row>
    <row r="25" spans="1:115" ht="15" customHeight="1" x14ac:dyDescent="0.3">
      <c r="A25" s="65"/>
      <c r="B25" s="109"/>
      <c r="C25" s="110"/>
      <c r="D25" s="110"/>
      <c r="E25" s="111"/>
      <c r="F25" s="85"/>
      <c r="G25" s="86"/>
      <c r="H25" s="86"/>
      <c r="I25" s="86"/>
      <c r="J25" s="86"/>
      <c r="K25" s="86"/>
      <c r="L25" s="86"/>
      <c r="M25" s="86"/>
      <c r="N25" s="86"/>
      <c r="O25" s="86"/>
      <c r="P25" s="86"/>
      <c r="Q25" s="67">
        <f t="shared" si="0"/>
        <v>0</v>
      </c>
      <c r="R25" s="67">
        <f t="shared" si="1"/>
        <v>0</v>
      </c>
      <c r="S25" s="86"/>
      <c r="T25" s="86"/>
      <c r="U25" s="86"/>
      <c r="V25" s="86"/>
      <c r="W25" s="66">
        <f t="shared" si="2"/>
        <v>0</v>
      </c>
      <c r="X25" s="98"/>
      <c r="Y25" s="68">
        <f t="shared" si="3"/>
        <v>0</v>
      </c>
      <c r="Z25" s="68">
        <f t="shared" si="4"/>
        <v>0</v>
      </c>
      <c r="AA25" s="72"/>
      <c r="AB25" s="68">
        <f t="shared" si="7"/>
        <v>0</v>
      </c>
      <c r="AC25" s="68">
        <f t="shared" si="8"/>
        <v>0</v>
      </c>
      <c r="AD25" s="68"/>
      <c r="AE25" s="55"/>
      <c r="AF25" s="69">
        <f t="shared" si="5"/>
        <v>0</v>
      </c>
      <c r="AG25" s="86"/>
      <c r="AH25" s="108"/>
      <c r="AI25" s="108"/>
      <c r="AJ25" s="108"/>
      <c r="AK25" s="70">
        <f t="shared" si="6"/>
        <v>0</v>
      </c>
      <c r="AL25" s="71"/>
      <c r="AM25" s="48"/>
      <c r="AN25" s="5"/>
      <c r="AO25" s="5"/>
      <c r="AP25" s="5"/>
      <c r="AQ25" s="5"/>
      <c r="AR25" s="7"/>
      <c r="AS25" s="7"/>
      <c r="AT25" s="7"/>
      <c r="AU25" s="7"/>
      <c r="AV25" s="7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</row>
    <row r="26" spans="1:115" ht="15" customHeight="1" x14ac:dyDescent="0.3">
      <c r="A26" s="65"/>
      <c r="B26" s="109"/>
      <c r="C26" s="110"/>
      <c r="D26" s="110"/>
      <c r="E26" s="111"/>
      <c r="F26" s="85"/>
      <c r="G26" s="86"/>
      <c r="H26" s="86"/>
      <c r="I26" s="86"/>
      <c r="J26" s="86"/>
      <c r="K26" s="86"/>
      <c r="L26" s="86"/>
      <c r="M26" s="86"/>
      <c r="N26" s="86"/>
      <c r="O26" s="86"/>
      <c r="P26" s="86"/>
      <c r="Q26" s="67">
        <f t="shared" si="0"/>
        <v>0</v>
      </c>
      <c r="R26" s="67">
        <f t="shared" si="1"/>
        <v>0</v>
      </c>
      <c r="S26" s="86"/>
      <c r="T26" s="86"/>
      <c r="U26" s="86"/>
      <c r="V26" s="86"/>
      <c r="W26" s="66">
        <f t="shared" si="2"/>
        <v>0</v>
      </c>
      <c r="X26" s="98"/>
      <c r="Y26" s="68">
        <f t="shared" si="3"/>
        <v>0</v>
      </c>
      <c r="Z26" s="68">
        <f t="shared" si="4"/>
        <v>0</v>
      </c>
      <c r="AA26" s="72"/>
      <c r="AB26" s="68">
        <f t="shared" si="7"/>
        <v>0</v>
      </c>
      <c r="AC26" s="68">
        <f t="shared" si="8"/>
        <v>0</v>
      </c>
      <c r="AD26" s="68"/>
      <c r="AE26" s="55"/>
      <c r="AF26" s="69">
        <f t="shared" si="5"/>
        <v>0</v>
      </c>
      <c r="AG26" s="86"/>
      <c r="AH26" s="108"/>
      <c r="AI26" s="108"/>
      <c r="AJ26" s="108"/>
      <c r="AK26" s="70">
        <f t="shared" si="6"/>
        <v>0</v>
      </c>
      <c r="AL26" s="71"/>
      <c r="AM26" s="48"/>
      <c r="AN26" s="5"/>
      <c r="AO26" s="5"/>
      <c r="AP26" s="5"/>
      <c r="AQ26" s="5"/>
      <c r="AR26" s="7"/>
      <c r="AS26" s="7"/>
      <c r="AT26" s="7"/>
      <c r="AU26" s="7"/>
      <c r="AV26" s="7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</row>
    <row r="27" spans="1:115" ht="15" customHeight="1" x14ac:dyDescent="0.3">
      <c r="A27" s="65"/>
      <c r="B27" s="109"/>
      <c r="C27" s="110"/>
      <c r="D27" s="110"/>
      <c r="E27" s="111"/>
      <c r="F27" s="85"/>
      <c r="G27" s="86"/>
      <c r="H27" s="86"/>
      <c r="I27" s="86"/>
      <c r="J27" s="86"/>
      <c r="K27" s="86"/>
      <c r="L27" s="86"/>
      <c r="M27" s="86"/>
      <c r="N27" s="86"/>
      <c r="O27" s="86"/>
      <c r="P27" s="86"/>
      <c r="Q27" s="67">
        <f t="shared" si="0"/>
        <v>0</v>
      </c>
      <c r="R27" s="67">
        <f t="shared" si="1"/>
        <v>0</v>
      </c>
      <c r="S27" s="86"/>
      <c r="T27" s="86"/>
      <c r="U27" s="86"/>
      <c r="V27" s="86"/>
      <c r="W27" s="66">
        <f t="shared" si="2"/>
        <v>0</v>
      </c>
      <c r="X27" s="98"/>
      <c r="Y27" s="68">
        <f t="shared" si="3"/>
        <v>0</v>
      </c>
      <c r="Z27" s="68">
        <f t="shared" si="4"/>
        <v>0</v>
      </c>
      <c r="AA27" s="72"/>
      <c r="AB27" s="68">
        <f t="shared" si="7"/>
        <v>0</v>
      </c>
      <c r="AC27" s="68">
        <f t="shared" si="8"/>
        <v>0</v>
      </c>
      <c r="AD27" s="68"/>
      <c r="AE27" s="55"/>
      <c r="AF27" s="69">
        <f t="shared" si="5"/>
        <v>0</v>
      </c>
      <c r="AG27" s="86"/>
      <c r="AH27" s="108"/>
      <c r="AI27" s="108"/>
      <c r="AJ27" s="108"/>
      <c r="AK27" s="70">
        <f t="shared" si="6"/>
        <v>0</v>
      </c>
      <c r="AL27" s="71"/>
      <c r="AM27" s="48"/>
      <c r="AN27" s="5"/>
      <c r="AO27" s="5"/>
      <c r="AP27" s="5"/>
      <c r="AQ27" s="5"/>
      <c r="AR27" s="7"/>
      <c r="AS27" s="7"/>
      <c r="AT27" s="7"/>
      <c r="AU27" s="7"/>
      <c r="AV27" s="7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</row>
    <row r="28" spans="1:115" ht="15" customHeight="1" x14ac:dyDescent="0.3">
      <c r="A28" s="65"/>
      <c r="B28" s="109"/>
      <c r="C28" s="110"/>
      <c r="D28" s="110"/>
      <c r="E28" s="111"/>
      <c r="F28" s="85"/>
      <c r="G28" s="86"/>
      <c r="H28" s="86"/>
      <c r="I28" s="86"/>
      <c r="J28" s="86"/>
      <c r="K28" s="86"/>
      <c r="L28" s="86"/>
      <c r="M28" s="86"/>
      <c r="N28" s="86"/>
      <c r="O28" s="86"/>
      <c r="P28" s="86"/>
      <c r="Q28" s="67">
        <f t="shared" si="0"/>
        <v>0</v>
      </c>
      <c r="R28" s="67">
        <f t="shared" si="1"/>
        <v>0</v>
      </c>
      <c r="S28" s="86"/>
      <c r="T28" s="86"/>
      <c r="U28" s="86"/>
      <c r="V28" s="86"/>
      <c r="W28" s="66">
        <f t="shared" si="2"/>
        <v>0</v>
      </c>
      <c r="X28" s="98"/>
      <c r="Y28" s="68">
        <f t="shared" si="3"/>
        <v>0</v>
      </c>
      <c r="Z28" s="68">
        <f t="shared" si="4"/>
        <v>0</v>
      </c>
      <c r="AA28" s="72"/>
      <c r="AB28" s="68">
        <f t="shared" si="7"/>
        <v>0</v>
      </c>
      <c r="AC28" s="68">
        <f t="shared" si="8"/>
        <v>0</v>
      </c>
      <c r="AD28" s="68"/>
      <c r="AE28" s="55"/>
      <c r="AF28" s="69">
        <f t="shared" si="5"/>
        <v>0</v>
      </c>
      <c r="AG28" s="86"/>
      <c r="AH28" s="108"/>
      <c r="AI28" s="108"/>
      <c r="AJ28" s="108"/>
      <c r="AK28" s="70">
        <f t="shared" si="6"/>
        <v>0</v>
      </c>
      <c r="AL28" s="71"/>
      <c r="AM28" s="48"/>
      <c r="AN28" s="5"/>
      <c r="AO28" s="5"/>
      <c r="AP28" s="5"/>
      <c r="AQ28" s="5"/>
      <c r="AR28" s="7"/>
      <c r="AS28" s="7"/>
      <c r="AT28" s="7"/>
      <c r="AU28" s="7"/>
      <c r="AV28" s="7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</row>
    <row r="29" spans="1:115" ht="15" customHeight="1" x14ac:dyDescent="0.3">
      <c r="A29" s="65"/>
      <c r="B29" s="109"/>
      <c r="C29" s="110"/>
      <c r="D29" s="110"/>
      <c r="E29" s="111"/>
      <c r="F29" s="85"/>
      <c r="G29" s="86"/>
      <c r="H29" s="86"/>
      <c r="I29" s="86"/>
      <c r="J29" s="86"/>
      <c r="K29" s="86"/>
      <c r="L29" s="86"/>
      <c r="M29" s="86"/>
      <c r="N29" s="86"/>
      <c r="O29" s="86"/>
      <c r="P29" s="86"/>
      <c r="Q29" s="67">
        <f t="shared" si="0"/>
        <v>0</v>
      </c>
      <c r="R29" s="67">
        <f t="shared" si="1"/>
        <v>0</v>
      </c>
      <c r="S29" s="86"/>
      <c r="T29" s="86"/>
      <c r="U29" s="86"/>
      <c r="V29" s="86"/>
      <c r="W29" s="66">
        <f t="shared" si="2"/>
        <v>0</v>
      </c>
      <c r="X29" s="98"/>
      <c r="Y29" s="68">
        <f t="shared" si="3"/>
        <v>0</v>
      </c>
      <c r="Z29" s="68">
        <f t="shared" si="4"/>
        <v>0</v>
      </c>
      <c r="AA29" s="72"/>
      <c r="AB29" s="68">
        <f t="shared" si="7"/>
        <v>0</v>
      </c>
      <c r="AC29" s="68">
        <f t="shared" si="8"/>
        <v>0</v>
      </c>
      <c r="AD29" s="68"/>
      <c r="AE29" s="55"/>
      <c r="AF29" s="69">
        <f t="shared" si="5"/>
        <v>0</v>
      </c>
      <c r="AG29" s="86"/>
      <c r="AH29" s="108"/>
      <c r="AI29" s="108"/>
      <c r="AJ29" s="108"/>
      <c r="AK29" s="70">
        <f t="shared" si="6"/>
        <v>0</v>
      </c>
      <c r="AL29" s="71"/>
      <c r="AM29" s="48"/>
      <c r="AN29" s="5"/>
      <c r="AO29" s="5"/>
      <c r="AP29" s="5"/>
      <c r="AQ29" s="5"/>
      <c r="AR29" s="7"/>
      <c r="AS29" s="7"/>
      <c r="AT29" s="7"/>
      <c r="AU29" s="7"/>
      <c r="AV29" s="7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</row>
    <row r="30" spans="1:115" ht="15" customHeight="1" x14ac:dyDescent="0.3">
      <c r="A30" s="65"/>
      <c r="B30" s="109"/>
      <c r="C30" s="110"/>
      <c r="D30" s="110"/>
      <c r="E30" s="111"/>
      <c r="F30" s="85"/>
      <c r="G30" s="86"/>
      <c r="H30" s="86"/>
      <c r="I30" s="86"/>
      <c r="J30" s="86"/>
      <c r="K30" s="86"/>
      <c r="L30" s="86"/>
      <c r="M30" s="86"/>
      <c r="N30" s="86"/>
      <c r="O30" s="86"/>
      <c r="P30" s="86"/>
      <c r="Q30" s="67">
        <f t="shared" si="0"/>
        <v>0</v>
      </c>
      <c r="R30" s="67">
        <f t="shared" si="1"/>
        <v>0</v>
      </c>
      <c r="S30" s="86"/>
      <c r="T30" s="86"/>
      <c r="U30" s="86"/>
      <c r="V30" s="86"/>
      <c r="W30" s="66">
        <f t="shared" si="2"/>
        <v>0</v>
      </c>
      <c r="X30" s="98"/>
      <c r="Y30" s="68">
        <f t="shared" si="3"/>
        <v>0</v>
      </c>
      <c r="Z30" s="68">
        <f t="shared" si="4"/>
        <v>0</v>
      </c>
      <c r="AA30" s="72"/>
      <c r="AB30" s="68">
        <f t="shared" si="7"/>
        <v>0</v>
      </c>
      <c r="AC30" s="68">
        <f t="shared" si="8"/>
        <v>0</v>
      </c>
      <c r="AD30" s="68"/>
      <c r="AE30" s="55"/>
      <c r="AF30" s="69">
        <f t="shared" si="5"/>
        <v>0</v>
      </c>
      <c r="AG30" s="86"/>
      <c r="AH30" s="108"/>
      <c r="AI30" s="108"/>
      <c r="AJ30" s="108"/>
      <c r="AK30" s="70">
        <f t="shared" si="6"/>
        <v>0</v>
      </c>
      <c r="AL30" s="71"/>
      <c r="AM30" s="48"/>
      <c r="AN30" s="5"/>
      <c r="AO30" s="5"/>
      <c r="AP30" s="5"/>
      <c r="AQ30" s="5"/>
      <c r="AR30" s="7"/>
      <c r="AS30" s="7"/>
      <c r="AT30" s="7"/>
      <c r="AU30" s="7"/>
      <c r="AV30" s="7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</row>
    <row r="31" spans="1:115" ht="15" customHeight="1" x14ac:dyDescent="0.3">
      <c r="A31" s="65"/>
      <c r="B31" s="109"/>
      <c r="C31" s="110"/>
      <c r="D31" s="110"/>
      <c r="E31" s="111"/>
      <c r="F31" s="85"/>
      <c r="G31" s="86"/>
      <c r="H31" s="86"/>
      <c r="I31" s="86"/>
      <c r="J31" s="86"/>
      <c r="K31" s="86"/>
      <c r="L31" s="86"/>
      <c r="M31" s="86"/>
      <c r="N31" s="86"/>
      <c r="O31" s="86"/>
      <c r="P31" s="86"/>
      <c r="Q31" s="67">
        <f t="shared" si="0"/>
        <v>0</v>
      </c>
      <c r="R31" s="67">
        <f t="shared" si="1"/>
        <v>0</v>
      </c>
      <c r="S31" s="86"/>
      <c r="T31" s="86"/>
      <c r="U31" s="86"/>
      <c r="V31" s="86"/>
      <c r="W31" s="66">
        <f t="shared" si="2"/>
        <v>0</v>
      </c>
      <c r="X31" s="98"/>
      <c r="Y31" s="68">
        <f t="shared" si="3"/>
        <v>0</v>
      </c>
      <c r="Z31" s="68">
        <f t="shared" si="4"/>
        <v>0</v>
      </c>
      <c r="AA31" s="72"/>
      <c r="AB31" s="68">
        <f t="shared" si="7"/>
        <v>0</v>
      </c>
      <c r="AC31" s="68">
        <f t="shared" si="8"/>
        <v>0</v>
      </c>
      <c r="AD31" s="68"/>
      <c r="AE31" s="55"/>
      <c r="AF31" s="69">
        <f t="shared" si="5"/>
        <v>0</v>
      </c>
      <c r="AG31" s="86"/>
      <c r="AH31" s="108"/>
      <c r="AI31" s="108"/>
      <c r="AJ31" s="108"/>
      <c r="AK31" s="70">
        <f t="shared" si="6"/>
        <v>0</v>
      </c>
      <c r="AL31" s="71"/>
      <c r="AM31" s="48"/>
      <c r="AN31" s="5"/>
      <c r="AO31" s="5"/>
      <c r="AP31" s="5"/>
      <c r="AQ31" s="5"/>
      <c r="AR31" s="7"/>
      <c r="AS31" s="7"/>
      <c r="AT31" s="7"/>
      <c r="AU31" s="7"/>
      <c r="AV31" s="7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</row>
    <row r="32" spans="1:115" ht="15" customHeight="1" x14ac:dyDescent="0.3">
      <c r="A32" s="65"/>
      <c r="B32" s="109"/>
      <c r="C32" s="110"/>
      <c r="D32" s="110"/>
      <c r="E32" s="111"/>
      <c r="F32" s="85"/>
      <c r="G32" s="86"/>
      <c r="H32" s="86"/>
      <c r="I32" s="86"/>
      <c r="J32" s="86"/>
      <c r="K32" s="86"/>
      <c r="L32" s="86"/>
      <c r="M32" s="86"/>
      <c r="N32" s="86"/>
      <c r="O32" s="86"/>
      <c r="P32" s="86"/>
      <c r="Q32" s="67">
        <f t="shared" si="0"/>
        <v>0</v>
      </c>
      <c r="R32" s="67">
        <f t="shared" si="1"/>
        <v>0</v>
      </c>
      <c r="S32" s="86"/>
      <c r="T32" s="86"/>
      <c r="U32" s="86"/>
      <c r="V32" s="86"/>
      <c r="W32" s="66">
        <f t="shared" si="2"/>
        <v>0</v>
      </c>
      <c r="X32" s="98"/>
      <c r="Y32" s="68">
        <f t="shared" si="3"/>
        <v>0</v>
      </c>
      <c r="Z32" s="68">
        <f t="shared" si="4"/>
        <v>0</v>
      </c>
      <c r="AA32" s="72"/>
      <c r="AB32" s="68">
        <f t="shared" si="7"/>
        <v>0</v>
      </c>
      <c r="AC32" s="68">
        <f t="shared" si="8"/>
        <v>0</v>
      </c>
      <c r="AD32" s="68"/>
      <c r="AE32" s="55"/>
      <c r="AF32" s="69">
        <f t="shared" si="5"/>
        <v>0</v>
      </c>
      <c r="AG32" s="86"/>
      <c r="AH32" s="108"/>
      <c r="AI32" s="108"/>
      <c r="AJ32" s="108"/>
      <c r="AK32" s="70">
        <f t="shared" si="6"/>
        <v>0</v>
      </c>
      <c r="AL32" s="71"/>
      <c r="AM32" s="48"/>
      <c r="AN32" s="5"/>
      <c r="AO32" s="5"/>
      <c r="AP32" s="5"/>
      <c r="AQ32" s="5"/>
      <c r="AR32" s="7"/>
      <c r="AS32" s="7"/>
      <c r="AT32" s="7"/>
      <c r="AU32" s="7"/>
      <c r="AV32" s="7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</row>
    <row r="33" spans="1:115" ht="15" customHeight="1" x14ac:dyDescent="0.3">
      <c r="A33" s="65"/>
      <c r="B33" s="109"/>
      <c r="C33" s="110"/>
      <c r="D33" s="110"/>
      <c r="E33" s="111"/>
      <c r="F33" s="85"/>
      <c r="G33" s="86"/>
      <c r="H33" s="86"/>
      <c r="I33" s="86"/>
      <c r="J33" s="86"/>
      <c r="K33" s="86"/>
      <c r="L33" s="86"/>
      <c r="M33" s="86"/>
      <c r="N33" s="86"/>
      <c r="O33" s="86"/>
      <c r="P33" s="86"/>
      <c r="Q33" s="67">
        <f t="shared" si="0"/>
        <v>0</v>
      </c>
      <c r="R33" s="67">
        <f t="shared" si="1"/>
        <v>0</v>
      </c>
      <c r="S33" s="86"/>
      <c r="T33" s="86"/>
      <c r="U33" s="86"/>
      <c r="V33" s="86"/>
      <c r="W33" s="66">
        <f t="shared" si="2"/>
        <v>0</v>
      </c>
      <c r="X33" s="98"/>
      <c r="Y33" s="68">
        <f t="shared" si="3"/>
        <v>0</v>
      </c>
      <c r="Z33" s="68">
        <f t="shared" si="4"/>
        <v>0</v>
      </c>
      <c r="AA33" s="72"/>
      <c r="AB33" s="68">
        <f t="shared" si="7"/>
        <v>0</v>
      </c>
      <c r="AC33" s="68">
        <f t="shared" si="8"/>
        <v>0</v>
      </c>
      <c r="AD33" s="68"/>
      <c r="AE33" s="55"/>
      <c r="AF33" s="69">
        <f t="shared" si="5"/>
        <v>0</v>
      </c>
      <c r="AG33" s="86"/>
      <c r="AH33" s="108"/>
      <c r="AI33" s="108"/>
      <c r="AJ33" s="108"/>
      <c r="AK33" s="70">
        <f t="shared" si="6"/>
        <v>0</v>
      </c>
      <c r="AL33" s="71"/>
      <c r="AM33" s="48"/>
      <c r="AN33" s="5"/>
      <c r="AO33" s="5"/>
      <c r="AP33" s="5"/>
      <c r="AQ33" s="5"/>
      <c r="AR33" s="7"/>
      <c r="AS33" s="7"/>
      <c r="AT33" s="7"/>
      <c r="AU33" s="7"/>
      <c r="AV33" s="7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</row>
    <row r="34" spans="1:115" ht="15" customHeight="1" x14ac:dyDescent="0.3">
      <c r="A34" s="65"/>
      <c r="B34" s="109"/>
      <c r="C34" s="110"/>
      <c r="D34" s="110"/>
      <c r="E34" s="111"/>
      <c r="F34" s="85"/>
      <c r="G34" s="86"/>
      <c r="H34" s="86"/>
      <c r="I34" s="86"/>
      <c r="J34" s="86"/>
      <c r="K34" s="86"/>
      <c r="L34" s="86"/>
      <c r="M34" s="86"/>
      <c r="N34" s="86"/>
      <c r="O34" s="86"/>
      <c r="P34" s="86"/>
      <c r="Q34" s="67">
        <f t="shared" si="0"/>
        <v>0</v>
      </c>
      <c r="R34" s="67">
        <f t="shared" si="1"/>
        <v>0</v>
      </c>
      <c r="S34" s="86"/>
      <c r="T34" s="86"/>
      <c r="U34" s="86"/>
      <c r="V34" s="86"/>
      <c r="W34" s="66">
        <f t="shared" si="2"/>
        <v>0</v>
      </c>
      <c r="X34" s="98"/>
      <c r="Y34" s="68">
        <f t="shared" si="3"/>
        <v>0</v>
      </c>
      <c r="Z34" s="68">
        <f t="shared" si="4"/>
        <v>0</v>
      </c>
      <c r="AA34" s="72"/>
      <c r="AB34" s="68">
        <f t="shared" si="7"/>
        <v>0</v>
      </c>
      <c r="AC34" s="68">
        <f t="shared" si="8"/>
        <v>0</v>
      </c>
      <c r="AD34" s="68"/>
      <c r="AE34" s="55"/>
      <c r="AF34" s="69">
        <f t="shared" si="5"/>
        <v>0</v>
      </c>
      <c r="AG34" s="86"/>
      <c r="AH34" s="108"/>
      <c r="AI34" s="108"/>
      <c r="AJ34" s="108"/>
      <c r="AK34" s="70">
        <f t="shared" si="6"/>
        <v>0</v>
      </c>
      <c r="AL34" s="71"/>
      <c r="AM34" s="48"/>
      <c r="AN34" s="5"/>
      <c r="AO34" s="5"/>
      <c r="AP34" s="5"/>
      <c r="AQ34" s="5"/>
      <c r="AR34" s="7"/>
      <c r="AS34" s="7"/>
      <c r="AT34" s="7"/>
      <c r="AU34" s="7"/>
      <c r="AV34" s="7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</row>
    <row r="35" spans="1:115" ht="15" customHeight="1" x14ac:dyDescent="0.3">
      <c r="A35" s="65"/>
      <c r="B35" s="109"/>
      <c r="C35" s="110"/>
      <c r="D35" s="110"/>
      <c r="E35" s="111"/>
      <c r="F35" s="85"/>
      <c r="G35" s="86"/>
      <c r="H35" s="86"/>
      <c r="I35" s="86"/>
      <c r="J35" s="86"/>
      <c r="K35" s="86"/>
      <c r="L35" s="86"/>
      <c r="M35" s="86"/>
      <c r="N35" s="86"/>
      <c r="O35" s="86"/>
      <c r="P35" s="86"/>
      <c r="Q35" s="67">
        <f t="shared" si="0"/>
        <v>0</v>
      </c>
      <c r="R35" s="67">
        <f t="shared" si="1"/>
        <v>0</v>
      </c>
      <c r="S35" s="86"/>
      <c r="T35" s="86"/>
      <c r="U35" s="86"/>
      <c r="V35" s="86"/>
      <c r="W35" s="66">
        <f t="shared" si="2"/>
        <v>0</v>
      </c>
      <c r="X35" s="98"/>
      <c r="Y35" s="68">
        <f t="shared" si="3"/>
        <v>0</v>
      </c>
      <c r="Z35" s="68">
        <f t="shared" si="4"/>
        <v>0</v>
      </c>
      <c r="AA35" s="72"/>
      <c r="AB35" s="68">
        <f t="shared" si="7"/>
        <v>0</v>
      </c>
      <c r="AC35" s="68">
        <f t="shared" si="8"/>
        <v>0</v>
      </c>
      <c r="AD35" s="68"/>
      <c r="AE35" s="55"/>
      <c r="AF35" s="69">
        <f t="shared" si="5"/>
        <v>0</v>
      </c>
      <c r="AG35" s="86"/>
      <c r="AH35" s="108"/>
      <c r="AI35" s="108"/>
      <c r="AJ35" s="108"/>
      <c r="AK35" s="70">
        <f t="shared" si="6"/>
        <v>0</v>
      </c>
      <c r="AL35" s="71"/>
      <c r="AM35" s="48"/>
      <c r="AN35" s="5"/>
      <c r="AO35" s="5"/>
      <c r="AP35" s="5"/>
      <c r="AQ35" s="5"/>
      <c r="AR35" s="7"/>
      <c r="AS35" s="7"/>
      <c r="AT35" s="7"/>
      <c r="AU35" s="7"/>
      <c r="AV35" s="7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</row>
    <row r="36" spans="1:115" ht="15" customHeight="1" x14ac:dyDescent="0.3">
      <c r="A36" s="65"/>
      <c r="B36" s="109"/>
      <c r="C36" s="110"/>
      <c r="D36" s="110"/>
      <c r="E36" s="111"/>
      <c r="F36" s="85"/>
      <c r="G36" s="86"/>
      <c r="H36" s="86"/>
      <c r="I36" s="86"/>
      <c r="J36" s="86"/>
      <c r="K36" s="86"/>
      <c r="L36" s="86"/>
      <c r="M36" s="86"/>
      <c r="N36" s="86"/>
      <c r="O36" s="86"/>
      <c r="P36" s="86"/>
      <c r="Q36" s="67">
        <f t="shared" si="0"/>
        <v>0</v>
      </c>
      <c r="R36" s="67">
        <f t="shared" si="1"/>
        <v>0</v>
      </c>
      <c r="S36" s="86"/>
      <c r="T36" s="86"/>
      <c r="U36" s="86"/>
      <c r="V36" s="86"/>
      <c r="W36" s="66">
        <f t="shared" si="2"/>
        <v>0</v>
      </c>
      <c r="X36" s="98"/>
      <c r="Y36" s="68">
        <f t="shared" si="3"/>
        <v>0</v>
      </c>
      <c r="Z36" s="68">
        <f t="shared" si="4"/>
        <v>0</v>
      </c>
      <c r="AA36" s="72"/>
      <c r="AB36" s="68">
        <f t="shared" si="7"/>
        <v>0</v>
      </c>
      <c r="AC36" s="68">
        <f t="shared" si="8"/>
        <v>0</v>
      </c>
      <c r="AD36" s="68"/>
      <c r="AE36" s="55"/>
      <c r="AF36" s="69">
        <f t="shared" si="5"/>
        <v>0</v>
      </c>
      <c r="AG36" s="86"/>
      <c r="AH36" s="108"/>
      <c r="AI36" s="108"/>
      <c r="AJ36" s="108"/>
      <c r="AK36" s="70">
        <f t="shared" si="6"/>
        <v>0</v>
      </c>
      <c r="AL36" s="71"/>
      <c r="AM36" s="48"/>
      <c r="AN36" s="5"/>
      <c r="AO36" s="5"/>
      <c r="AP36" s="5"/>
      <c r="AQ36" s="5"/>
      <c r="AR36" s="7"/>
      <c r="AS36" s="7"/>
      <c r="AT36" s="7"/>
      <c r="AU36" s="7"/>
      <c r="AV36" s="7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</row>
    <row r="37" spans="1:115" ht="15" customHeight="1" x14ac:dyDescent="0.3">
      <c r="A37" s="65"/>
      <c r="B37" s="109"/>
      <c r="C37" s="110"/>
      <c r="D37" s="110"/>
      <c r="E37" s="111"/>
      <c r="F37" s="85"/>
      <c r="G37" s="86"/>
      <c r="H37" s="86"/>
      <c r="I37" s="86"/>
      <c r="J37" s="86"/>
      <c r="K37" s="86"/>
      <c r="L37" s="86"/>
      <c r="M37" s="86"/>
      <c r="N37" s="86"/>
      <c r="O37" s="86"/>
      <c r="P37" s="86"/>
      <c r="Q37" s="67">
        <f t="shared" si="0"/>
        <v>0</v>
      </c>
      <c r="R37" s="67">
        <f t="shared" si="1"/>
        <v>0</v>
      </c>
      <c r="S37" s="86"/>
      <c r="T37" s="86"/>
      <c r="U37" s="86"/>
      <c r="V37" s="86"/>
      <c r="W37" s="66">
        <f t="shared" si="2"/>
        <v>0</v>
      </c>
      <c r="X37" s="98"/>
      <c r="Y37" s="68">
        <f t="shared" si="3"/>
        <v>0</v>
      </c>
      <c r="Z37" s="68">
        <f t="shared" si="4"/>
        <v>0</v>
      </c>
      <c r="AA37" s="72"/>
      <c r="AB37" s="68">
        <f t="shared" si="7"/>
        <v>0</v>
      </c>
      <c r="AC37" s="68">
        <f t="shared" si="8"/>
        <v>0</v>
      </c>
      <c r="AD37" s="68"/>
      <c r="AE37" s="55"/>
      <c r="AF37" s="69">
        <f t="shared" si="5"/>
        <v>0</v>
      </c>
      <c r="AG37" s="86"/>
      <c r="AH37" s="108"/>
      <c r="AI37" s="108"/>
      <c r="AJ37" s="108"/>
      <c r="AK37" s="70">
        <f t="shared" si="6"/>
        <v>0</v>
      </c>
      <c r="AL37" s="71"/>
      <c r="AM37" s="48"/>
      <c r="AN37" s="5"/>
      <c r="AO37" s="5"/>
      <c r="AP37" s="5"/>
      <c r="AQ37" s="5"/>
      <c r="AR37" s="7"/>
      <c r="AS37" s="7"/>
      <c r="AT37" s="7"/>
      <c r="AU37" s="7"/>
      <c r="AV37" s="7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</row>
    <row r="38" spans="1:115" ht="15" customHeight="1" x14ac:dyDescent="0.3">
      <c r="A38" s="65"/>
      <c r="B38" s="109"/>
      <c r="C38" s="110"/>
      <c r="D38" s="110"/>
      <c r="E38" s="111"/>
      <c r="F38" s="85"/>
      <c r="G38" s="86"/>
      <c r="H38" s="86"/>
      <c r="I38" s="86"/>
      <c r="J38" s="86"/>
      <c r="K38" s="86"/>
      <c r="L38" s="86"/>
      <c r="M38" s="86"/>
      <c r="N38" s="86"/>
      <c r="O38" s="86"/>
      <c r="P38" s="86"/>
      <c r="Q38" s="67">
        <f t="shared" si="0"/>
        <v>0</v>
      </c>
      <c r="R38" s="67">
        <f t="shared" si="1"/>
        <v>0</v>
      </c>
      <c r="S38" s="86"/>
      <c r="T38" s="86"/>
      <c r="U38" s="86"/>
      <c r="V38" s="86"/>
      <c r="W38" s="66">
        <f t="shared" si="2"/>
        <v>0</v>
      </c>
      <c r="X38" s="98"/>
      <c r="Y38" s="68">
        <f t="shared" si="3"/>
        <v>0</v>
      </c>
      <c r="Z38" s="68">
        <f t="shared" si="4"/>
        <v>0</v>
      </c>
      <c r="AA38" s="72"/>
      <c r="AB38" s="68">
        <f t="shared" si="7"/>
        <v>0</v>
      </c>
      <c r="AC38" s="68">
        <f t="shared" si="8"/>
        <v>0</v>
      </c>
      <c r="AD38" s="68"/>
      <c r="AE38" s="55"/>
      <c r="AF38" s="69">
        <f t="shared" si="5"/>
        <v>0</v>
      </c>
      <c r="AG38" s="86"/>
      <c r="AH38" s="108"/>
      <c r="AI38" s="108"/>
      <c r="AJ38" s="108"/>
      <c r="AK38" s="70">
        <f t="shared" si="6"/>
        <v>0</v>
      </c>
      <c r="AL38" s="71"/>
      <c r="AM38" s="48"/>
      <c r="AN38" s="5"/>
      <c r="AO38" s="5"/>
      <c r="AP38" s="5"/>
      <c r="AQ38" s="5"/>
      <c r="AR38" s="7"/>
      <c r="AS38" s="7"/>
      <c r="AT38" s="7"/>
      <c r="AU38" s="7"/>
      <c r="AV38" s="7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</row>
    <row r="39" spans="1:115" ht="15" customHeight="1" x14ac:dyDescent="0.3">
      <c r="A39" s="65"/>
      <c r="B39" s="109"/>
      <c r="C39" s="110"/>
      <c r="D39" s="110"/>
      <c r="E39" s="111"/>
      <c r="F39" s="85"/>
      <c r="G39" s="86"/>
      <c r="H39" s="86"/>
      <c r="I39" s="86"/>
      <c r="J39" s="86"/>
      <c r="K39" s="86"/>
      <c r="L39" s="86"/>
      <c r="M39" s="86"/>
      <c r="N39" s="86"/>
      <c r="O39" s="86"/>
      <c r="P39" s="86"/>
      <c r="Q39" s="67">
        <f t="shared" si="0"/>
        <v>0</v>
      </c>
      <c r="R39" s="67">
        <f t="shared" si="1"/>
        <v>0</v>
      </c>
      <c r="S39" s="86"/>
      <c r="T39" s="86"/>
      <c r="U39" s="86"/>
      <c r="V39" s="86"/>
      <c r="W39" s="66">
        <f t="shared" si="2"/>
        <v>0</v>
      </c>
      <c r="X39" s="98"/>
      <c r="Y39" s="68">
        <f t="shared" si="3"/>
        <v>0</v>
      </c>
      <c r="Z39" s="68">
        <f t="shared" si="4"/>
        <v>0</v>
      </c>
      <c r="AA39" s="72"/>
      <c r="AB39" s="68">
        <f t="shared" si="7"/>
        <v>0</v>
      </c>
      <c r="AC39" s="68">
        <f t="shared" si="8"/>
        <v>0</v>
      </c>
      <c r="AD39" s="68"/>
      <c r="AE39" s="55"/>
      <c r="AF39" s="69">
        <f t="shared" si="5"/>
        <v>0</v>
      </c>
      <c r="AG39" s="86"/>
      <c r="AH39" s="108"/>
      <c r="AI39" s="108"/>
      <c r="AJ39" s="108"/>
      <c r="AK39" s="70">
        <f t="shared" si="6"/>
        <v>0</v>
      </c>
      <c r="AL39" s="71"/>
      <c r="AM39" s="48"/>
      <c r="AN39" s="5"/>
      <c r="AO39" s="5"/>
      <c r="AP39" s="5"/>
      <c r="AQ39" s="5"/>
      <c r="AR39" s="7"/>
      <c r="AS39" s="7"/>
      <c r="AT39" s="7"/>
      <c r="AU39" s="7"/>
      <c r="AV39" s="7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</row>
    <row r="40" spans="1:115" ht="15" customHeight="1" x14ac:dyDescent="0.3">
      <c r="A40" s="65"/>
      <c r="B40" s="109"/>
      <c r="C40" s="110"/>
      <c r="D40" s="110"/>
      <c r="E40" s="111"/>
      <c r="F40" s="85"/>
      <c r="G40" s="86"/>
      <c r="H40" s="86"/>
      <c r="I40" s="86"/>
      <c r="J40" s="86"/>
      <c r="K40" s="86"/>
      <c r="L40" s="86"/>
      <c r="M40" s="86"/>
      <c r="N40" s="86"/>
      <c r="O40" s="86"/>
      <c r="P40" s="86"/>
      <c r="Q40" s="67">
        <f t="shared" si="0"/>
        <v>0</v>
      </c>
      <c r="R40" s="67">
        <f t="shared" si="1"/>
        <v>0</v>
      </c>
      <c r="S40" s="86"/>
      <c r="T40" s="86"/>
      <c r="U40" s="86"/>
      <c r="V40" s="86"/>
      <c r="W40" s="66">
        <f t="shared" si="2"/>
        <v>0</v>
      </c>
      <c r="X40" s="98"/>
      <c r="Y40" s="68">
        <f t="shared" si="3"/>
        <v>0</v>
      </c>
      <c r="Z40" s="68">
        <f t="shared" si="4"/>
        <v>0</v>
      </c>
      <c r="AA40" s="72"/>
      <c r="AB40" s="68">
        <f t="shared" si="7"/>
        <v>0</v>
      </c>
      <c r="AC40" s="68">
        <f t="shared" si="8"/>
        <v>0</v>
      </c>
      <c r="AD40" s="68"/>
      <c r="AE40" s="55"/>
      <c r="AF40" s="69">
        <f t="shared" si="5"/>
        <v>0</v>
      </c>
      <c r="AG40" s="86"/>
      <c r="AH40" s="108"/>
      <c r="AI40" s="108"/>
      <c r="AJ40" s="108"/>
      <c r="AK40" s="70">
        <f t="shared" si="6"/>
        <v>0</v>
      </c>
      <c r="AL40" s="71"/>
      <c r="AM40" s="48"/>
      <c r="AN40" s="5"/>
      <c r="AO40" s="5"/>
      <c r="AP40" s="5"/>
      <c r="AQ40" s="5"/>
      <c r="AR40" s="7"/>
      <c r="AS40" s="7"/>
      <c r="AT40" s="7"/>
      <c r="AU40" s="7"/>
      <c r="AV40" s="7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</row>
    <row r="41" spans="1:115" ht="15" customHeight="1" x14ac:dyDescent="0.3">
      <c r="A41" s="65"/>
      <c r="B41" s="109"/>
      <c r="C41" s="110"/>
      <c r="D41" s="110"/>
      <c r="E41" s="111"/>
      <c r="F41" s="85"/>
      <c r="G41" s="86"/>
      <c r="H41" s="86"/>
      <c r="I41" s="86"/>
      <c r="J41" s="86"/>
      <c r="K41" s="86"/>
      <c r="L41" s="86"/>
      <c r="M41" s="86"/>
      <c r="N41" s="86"/>
      <c r="O41" s="86"/>
      <c r="P41" s="86"/>
      <c r="Q41" s="67">
        <f t="shared" si="0"/>
        <v>0</v>
      </c>
      <c r="R41" s="67">
        <f t="shared" si="1"/>
        <v>0</v>
      </c>
      <c r="S41" s="86"/>
      <c r="T41" s="86"/>
      <c r="U41" s="86"/>
      <c r="V41" s="86"/>
      <c r="W41" s="66">
        <f t="shared" si="2"/>
        <v>0</v>
      </c>
      <c r="X41" s="97"/>
      <c r="Y41" s="68">
        <f t="shared" si="3"/>
        <v>0</v>
      </c>
      <c r="Z41" s="68">
        <f t="shared" si="4"/>
        <v>0</v>
      </c>
      <c r="AA41" s="72"/>
      <c r="AB41" s="68">
        <f t="shared" si="7"/>
        <v>0</v>
      </c>
      <c r="AC41" s="68">
        <f t="shared" si="8"/>
        <v>0</v>
      </c>
      <c r="AD41" s="68"/>
      <c r="AE41" s="55"/>
      <c r="AF41" s="69">
        <f t="shared" si="5"/>
        <v>0</v>
      </c>
      <c r="AG41" s="86"/>
      <c r="AH41" s="108"/>
      <c r="AI41" s="108"/>
      <c r="AJ41" s="108"/>
      <c r="AK41" s="70">
        <f t="shared" si="6"/>
        <v>0</v>
      </c>
      <c r="AL41" s="71"/>
      <c r="AM41" s="48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</row>
    <row r="42" spans="1:115" ht="15" customHeight="1" x14ac:dyDescent="0.3">
      <c r="A42" s="65"/>
      <c r="B42" s="109"/>
      <c r="C42" s="110"/>
      <c r="D42" s="110"/>
      <c r="E42" s="111"/>
      <c r="F42" s="85"/>
      <c r="G42" s="86"/>
      <c r="H42" s="86"/>
      <c r="I42" s="86"/>
      <c r="J42" s="86"/>
      <c r="K42" s="86"/>
      <c r="L42" s="86"/>
      <c r="M42" s="86"/>
      <c r="N42" s="86"/>
      <c r="O42" s="86"/>
      <c r="P42" s="86"/>
      <c r="Q42" s="67">
        <f t="shared" si="0"/>
        <v>0</v>
      </c>
      <c r="R42" s="67">
        <f t="shared" si="1"/>
        <v>0</v>
      </c>
      <c r="S42" s="86"/>
      <c r="T42" s="86"/>
      <c r="U42" s="86"/>
      <c r="V42" s="86"/>
      <c r="W42" s="66">
        <f t="shared" si="2"/>
        <v>0</v>
      </c>
      <c r="X42" s="97"/>
      <c r="Y42" s="68">
        <f t="shared" si="3"/>
        <v>0</v>
      </c>
      <c r="Z42" s="68">
        <f t="shared" si="4"/>
        <v>0</v>
      </c>
      <c r="AA42" s="72"/>
      <c r="AB42" s="68">
        <f t="shared" si="7"/>
        <v>0</v>
      </c>
      <c r="AC42" s="68">
        <f t="shared" si="8"/>
        <v>0</v>
      </c>
      <c r="AD42" s="68"/>
      <c r="AE42" s="55"/>
      <c r="AF42" s="69">
        <f t="shared" si="5"/>
        <v>0</v>
      </c>
      <c r="AG42" s="86"/>
      <c r="AH42" s="108"/>
      <c r="AI42" s="108"/>
      <c r="AJ42" s="108"/>
      <c r="AK42" s="70">
        <f t="shared" si="6"/>
        <v>0</v>
      </c>
      <c r="AL42" s="71"/>
      <c r="AM42" s="48"/>
      <c r="AN42" s="5"/>
      <c r="AO42" s="5"/>
      <c r="AP42" s="5"/>
      <c r="AQ42" s="5"/>
      <c r="AR42" s="7"/>
      <c r="AS42" s="7"/>
      <c r="AT42" s="7"/>
      <c r="AU42" s="7"/>
      <c r="AV42" s="7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</row>
    <row r="43" spans="1:115" ht="15" customHeight="1" x14ac:dyDescent="0.3">
      <c r="A43" s="65"/>
      <c r="B43" s="109"/>
      <c r="C43" s="110"/>
      <c r="D43" s="110"/>
      <c r="E43" s="111"/>
      <c r="F43" s="85"/>
      <c r="G43" s="86"/>
      <c r="H43" s="86"/>
      <c r="I43" s="86"/>
      <c r="J43" s="86"/>
      <c r="K43" s="86"/>
      <c r="L43" s="86"/>
      <c r="M43" s="86"/>
      <c r="N43" s="86"/>
      <c r="O43" s="86"/>
      <c r="P43" s="86"/>
      <c r="Q43" s="67">
        <f t="shared" si="0"/>
        <v>0</v>
      </c>
      <c r="R43" s="67">
        <f t="shared" si="1"/>
        <v>0</v>
      </c>
      <c r="S43" s="86"/>
      <c r="T43" s="86"/>
      <c r="U43" s="86"/>
      <c r="V43" s="86"/>
      <c r="W43" s="66">
        <f t="shared" si="2"/>
        <v>0</v>
      </c>
      <c r="X43" s="101"/>
      <c r="Y43" s="68">
        <f t="shared" si="3"/>
        <v>0</v>
      </c>
      <c r="Z43" s="68">
        <f t="shared" si="4"/>
        <v>0</v>
      </c>
      <c r="AA43" s="72"/>
      <c r="AB43" s="68">
        <f t="shared" si="7"/>
        <v>0</v>
      </c>
      <c r="AC43" s="68">
        <f t="shared" si="8"/>
        <v>0</v>
      </c>
      <c r="AD43" s="68"/>
      <c r="AE43" s="55"/>
      <c r="AF43" s="69">
        <f t="shared" si="5"/>
        <v>0</v>
      </c>
      <c r="AG43" s="86"/>
      <c r="AH43" s="108"/>
      <c r="AI43" s="108"/>
      <c r="AJ43" s="108"/>
      <c r="AK43" s="70">
        <f t="shared" si="6"/>
        <v>0</v>
      </c>
      <c r="AL43" s="71"/>
      <c r="AM43" s="48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</row>
    <row r="44" spans="1:115" ht="15" customHeight="1" x14ac:dyDescent="0.3">
      <c r="A44" s="65"/>
      <c r="B44" s="109"/>
      <c r="C44" s="110"/>
      <c r="D44" s="110"/>
      <c r="E44" s="111"/>
      <c r="F44" s="85"/>
      <c r="G44" s="86"/>
      <c r="H44" s="86"/>
      <c r="I44" s="86"/>
      <c r="J44" s="86"/>
      <c r="K44" s="86"/>
      <c r="L44" s="86"/>
      <c r="M44" s="86"/>
      <c r="N44" s="86"/>
      <c r="O44" s="86"/>
      <c r="P44" s="86"/>
      <c r="Q44" s="67">
        <f t="shared" si="0"/>
        <v>0</v>
      </c>
      <c r="R44" s="67">
        <f t="shared" si="1"/>
        <v>0</v>
      </c>
      <c r="S44" s="86"/>
      <c r="T44" s="86"/>
      <c r="U44" s="86"/>
      <c r="V44" s="86"/>
      <c r="W44" s="66">
        <f t="shared" si="2"/>
        <v>0</v>
      </c>
      <c r="X44" s="96"/>
      <c r="Y44" s="68">
        <f t="shared" si="3"/>
        <v>0</v>
      </c>
      <c r="Z44" s="68">
        <f t="shared" si="4"/>
        <v>0</v>
      </c>
      <c r="AA44" s="72"/>
      <c r="AB44" s="68">
        <f t="shared" si="7"/>
        <v>0</v>
      </c>
      <c r="AC44" s="68">
        <f t="shared" si="8"/>
        <v>0</v>
      </c>
      <c r="AD44" s="68"/>
      <c r="AE44" s="55"/>
      <c r="AF44" s="69">
        <f t="shared" si="5"/>
        <v>0</v>
      </c>
      <c r="AG44" s="86"/>
      <c r="AH44" s="108"/>
      <c r="AI44" s="108"/>
      <c r="AJ44" s="108"/>
      <c r="AK44" s="70">
        <f t="shared" si="6"/>
        <v>0</v>
      </c>
      <c r="AL44" s="71"/>
      <c r="AM44" s="48"/>
      <c r="AN44" s="5"/>
      <c r="AO44" s="5"/>
      <c r="AP44" s="5"/>
      <c r="AQ44" s="5"/>
      <c r="AR44" s="7"/>
      <c r="AS44" s="7"/>
      <c r="AT44" s="7"/>
      <c r="AU44" s="7"/>
      <c r="AV44" s="7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</row>
    <row r="45" spans="1:115" ht="15" customHeight="1" x14ac:dyDescent="0.3">
      <c r="A45" s="65"/>
      <c r="B45" s="109"/>
      <c r="C45" s="110"/>
      <c r="D45" s="110"/>
      <c r="E45" s="111"/>
      <c r="F45" s="85"/>
      <c r="G45" s="86"/>
      <c r="H45" s="86"/>
      <c r="I45" s="86"/>
      <c r="J45" s="86"/>
      <c r="K45" s="86"/>
      <c r="L45" s="86"/>
      <c r="M45" s="86"/>
      <c r="N45" s="86"/>
      <c r="O45" s="86"/>
      <c r="P45" s="86"/>
      <c r="Q45" s="67">
        <f t="shared" si="0"/>
        <v>0</v>
      </c>
      <c r="R45" s="67">
        <f t="shared" si="1"/>
        <v>0</v>
      </c>
      <c r="S45" s="86"/>
      <c r="T45" s="86"/>
      <c r="U45" s="86"/>
      <c r="V45" s="86"/>
      <c r="W45" s="66">
        <f t="shared" si="2"/>
        <v>0</v>
      </c>
      <c r="X45" s="97"/>
      <c r="Y45" s="68">
        <f t="shared" si="3"/>
        <v>0</v>
      </c>
      <c r="Z45" s="68">
        <f t="shared" si="4"/>
        <v>0</v>
      </c>
      <c r="AA45" s="72"/>
      <c r="AB45" s="68">
        <f t="shared" si="7"/>
        <v>0</v>
      </c>
      <c r="AC45" s="68">
        <f t="shared" si="8"/>
        <v>0</v>
      </c>
      <c r="AD45" s="68"/>
      <c r="AE45" s="55"/>
      <c r="AF45" s="69">
        <f t="shared" si="5"/>
        <v>0</v>
      </c>
      <c r="AG45" s="86"/>
      <c r="AH45" s="108"/>
      <c r="AI45" s="108"/>
      <c r="AJ45" s="108"/>
      <c r="AK45" s="70">
        <f t="shared" si="6"/>
        <v>0</v>
      </c>
      <c r="AL45" s="71"/>
      <c r="AM45" s="48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</row>
    <row r="46" spans="1:115" ht="15" customHeight="1" x14ac:dyDescent="0.3">
      <c r="A46" s="65"/>
      <c r="B46" s="109"/>
      <c r="C46" s="110"/>
      <c r="D46" s="110"/>
      <c r="E46" s="111"/>
      <c r="F46" s="85"/>
      <c r="G46" s="86"/>
      <c r="H46" s="86"/>
      <c r="I46" s="86"/>
      <c r="J46" s="86"/>
      <c r="K46" s="86"/>
      <c r="L46" s="86"/>
      <c r="M46" s="86"/>
      <c r="N46" s="86"/>
      <c r="O46" s="86"/>
      <c r="P46" s="86"/>
      <c r="Q46" s="67">
        <f t="shared" si="0"/>
        <v>0</v>
      </c>
      <c r="R46" s="67">
        <f t="shared" si="1"/>
        <v>0</v>
      </c>
      <c r="S46" s="86"/>
      <c r="T46" s="86"/>
      <c r="U46" s="86"/>
      <c r="V46" s="86"/>
      <c r="W46" s="66">
        <f t="shared" si="2"/>
        <v>0</v>
      </c>
      <c r="X46" s="98"/>
      <c r="Y46" s="68">
        <f t="shared" si="3"/>
        <v>0</v>
      </c>
      <c r="Z46" s="68">
        <f t="shared" si="4"/>
        <v>0</v>
      </c>
      <c r="AA46" s="72"/>
      <c r="AB46" s="68">
        <f t="shared" si="7"/>
        <v>0</v>
      </c>
      <c r="AC46" s="68">
        <f t="shared" si="8"/>
        <v>0</v>
      </c>
      <c r="AD46" s="68"/>
      <c r="AE46" s="55"/>
      <c r="AF46" s="69">
        <f t="shared" si="5"/>
        <v>0</v>
      </c>
      <c r="AG46" s="86"/>
      <c r="AH46" s="108"/>
      <c r="AI46" s="108"/>
      <c r="AJ46" s="108"/>
      <c r="AK46" s="70">
        <f t="shared" si="6"/>
        <v>0</v>
      </c>
      <c r="AL46" s="71"/>
      <c r="AM46" s="48"/>
      <c r="AN46" s="5"/>
      <c r="AO46" s="5"/>
      <c r="AP46" s="5"/>
      <c r="AQ46" s="5"/>
      <c r="AR46" s="7"/>
      <c r="AS46" s="7"/>
      <c r="AT46" s="7"/>
      <c r="AU46" s="7"/>
      <c r="AV46" s="7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</row>
    <row r="47" spans="1:115" ht="15.75" customHeight="1" x14ac:dyDescent="0.3">
      <c r="A47" s="65"/>
      <c r="B47" s="109"/>
      <c r="C47" s="110"/>
      <c r="D47" s="110"/>
      <c r="E47" s="111"/>
      <c r="F47" s="85"/>
      <c r="G47" s="86"/>
      <c r="H47" s="86"/>
      <c r="I47" s="86"/>
      <c r="J47" s="86"/>
      <c r="K47" s="86"/>
      <c r="L47" s="86"/>
      <c r="M47" s="86"/>
      <c r="N47" s="86"/>
      <c r="O47" s="86"/>
      <c r="P47" s="86"/>
      <c r="Q47" s="67">
        <f t="shared" si="0"/>
        <v>0</v>
      </c>
      <c r="R47" s="67">
        <f t="shared" si="1"/>
        <v>0</v>
      </c>
      <c r="S47" s="86"/>
      <c r="T47" s="86"/>
      <c r="U47" s="86"/>
      <c r="V47" s="86"/>
      <c r="W47" s="66">
        <f t="shared" si="2"/>
        <v>0</v>
      </c>
      <c r="X47" s="97"/>
      <c r="Y47" s="68">
        <f t="shared" si="3"/>
        <v>0</v>
      </c>
      <c r="Z47" s="68">
        <f t="shared" si="4"/>
        <v>0</v>
      </c>
      <c r="AA47" s="72"/>
      <c r="AB47" s="68">
        <f t="shared" si="7"/>
        <v>0</v>
      </c>
      <c r="AC47" s="68">
        <f t="shared" si="8"/>
        <v>0</v>
      </c>
      <c r="AD47" s="68"/>
      <c r="AE47" s="55"/>
      <c r="AF47" s="69">
        <f t="shared" si="5"/>
        <v>0</v>
      </c>
      <c r="AG47" s="86"/>
      <c r="AH47" s="108"/>
      <c r="AI47" s="108"/>
      <c r="AJ47" s="108"/>
      <c r="AK47" s="70">
        <f t="shared" si="6"/>
        <v>0</v>
      </c>
      <c r="AL47" s="71"/>
      <c r="AM47" s="48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</row>
    <row r="48" spans="1:115" ht="15" customHeight="1" x14ac:dyDescent="0.3">
      <c r="A48" s="65"/>
      <c r="B48" s="109"/>
      <c r="C48" s="110"/>
      <c r="D48" s="110"/>
      <c r="E48" s="111"/>
      <c r="F48" s="88"/>
      <c r="G48" s="86"/>
      <c r="H48" s="86"/>
      <c r="I48" s="86"/>
      <c r="J48" s="86"/>
      <c r="K48" s="86"/>
      <c r="L48" s="86"/>
      <c r="M48" s="86"/>
      <c r="N48" s="86"/>
      <c r="O48" s="86"/>
      <c r="P48" s="86"/>
      <c r="Q48" s="67">
        <f t="shared" si="0"/>
        <v>0</v>
      </c>
      <c r="R48" s="67">
        <f t="shared" si="1"/>
        <v>0</v>
      </c>
      <c r="S48" s="86"/>
      <c r="T48" s="86"/>
      <c r="U48" s="86"/>
      <c r="V48" s="86"/>
      <c r="W48" s="66">
        <f t="shared" si="2"/>
        <v>0</v>
      </c>
      <c r="X48" s="97"/>
      <c r="Y48" s="68">
        <f t="shared" si="3"/>
        <v>0</v>
      </c>
      <c r="Z48" s="68">
        <f t="shared" si="4"/>
        <v>0</v>
      </c>
      <c r="AA48" s="72"/>
      <c r="AB48" s="68">
        <f t="shared" si="7"/>
        <v>0</v>
      </c>
      <c r="AC48" s="68">
        <f t="shared" si="8"/>
        <v>0</v>
      </c>
      <c r="AD48" s="68"/>
      <c r="AE48" s="55"/>
      <c r="AF48" s="69">
        <f t="shared" si="5"/>
        <v>0</v>
      </c>
      <c r="AG48" s="86"/>
      <c r="AH48" s="108"/>
      <c r="AI48" s="108"/>
      <c r="AJ48" s="108"/>
      <c r="AK48" s="70">
        <f t="shared" si="6"/>
        <v>0</v>
      </c>
      <c r="AL48" s="71"/>
      <c r="AM48" s="48"/>
      <c r="AN48" s="5"/>
      <c r="AO48" s="5"/>
      <c r="AP48" s="5"/>
      <c r="AQ48" s="5"/>
      <c r="AR48" s="7"/>
      <c r="AS48" s="7"/>
      <c r="AT48" s="7"/>
      <c r="AU48" s="7"/>
      <c r="AV48" s="7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</row>
    <row r="49" spans="1:115" ht="15" customHeight="1" x14ac:dyDescent="0.3">
      <c r="A49" s="65"/>
      <c r="B49" s="109"/>
      <c r="C49" s="110"/>
      <c r="D49" s="110"/>
      <c r="E49" s="111"/>
      <c r="F49" s="85"/>
      <c r="G49" s="86"/>
      <c r="H49" s="86"/>
      <c r="I49" s="86"/>
      <c r="J49" s="86"/>
      <c r="K49" s="86"/>
      <c r="L49" s="86"/>
      <c r="M49" s="86"/>
      <c r="N49" s="86"/>
      <c r="O49" s="86"/>
      <c r="P49" s="86"/>
      <c r="Q49" s="67">
        <f t="shared" si="0"/>
        <v>0</v>
      </c>
      <c r="R49" s="67">
        <f t="shared" si="1"/>
        <v>0</v>
      </c>
      <c r="S49" s="86"/>
      <c r="T49" s="86"/>
      <c r="U49" s="86"/>
      <c r="V49" s="86"/>
      <c r="W49" s="66">
        <f t="shared" si="2"/>
        <v>0</v>
      </c>
      <c r="X49" s="96"/>
      <c r="Y49" s="68">
        <f t="shared" si="3"/>
        <v>0</v>
      </c>
      <c r="Z49" s="68">
        <f t="shared" si="4"/>
        <v>0</v>
      </c>
      <c r="AA49" s="72"/>
      <c r="AB49" s="68">
        <f t="shared" si="7"/>
        <v>0</v>
      </c>
      <c r="AC49" s="68">
        <f t="shared" si="8"/>
        <v>0</v>
      </c>
      <c r="AD49" s="68"/>
      <c r="AE49" s="55"/>
      <c r="AF49" s="69">
        <f t="shared" si="5"/>
        <v>0</v>
      </c>
      <c r="AG49" s="86"/>
      <c r="AH49" s="108"/>
      <c r="AI49" s="108"/>
      <c r="AJ49" s="108"/>
      <c r="AK49" s="70">
        <f t="shared" si="6"/>
        <v>0</v>
      </c>
      <c r="AL49" s="71"/>
      <c r="AM49" s="48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</row>
    <row r="50" spans="1:115" s="42" customFormat="1" ht="15" customHeight="1" x14ac:dyDescent="0.3">
      <c r="A50" s="65"/>
      <c r="B50" s="109"/>
      <c r="C50" s="110"/>
      <c r="D50" s="110"/>
      <c r="E50" s="111"/>
      <c r="F50" s="85"/>
      <c r="G50" s="86"/>
      <c r="H50" s="86"/>
      <c r="I50" s="86"/>
      <c r="J50" s="86"/>
      <c r="K50" s="86"/>
      <c r="L50" s="86"/>
      <c r="M50" s="86"/>
      <c r="N50" s="86"/>
      <c r="O50" s="86"/>
      <c r="P50" s="86"/>
      <c r="Q50" s="67">
        <f t="shared" si="0"/>
        <v>0</v>
      </c>
      <c r="R50" s="67">
        <f t="shared" si="1"/>
        <v>0</v>
      </c>
      <c r="S50" s="86"/>
      <c r="T50" s="86"/>
      <c r="U50" s="86"/>
      <c r="V50" s="86"/>
      <c r="W50" s="66">
        <f t="shared" si="2"/>
        <v>0</v>
      </c>
      <c r="X50" s="101"/>
      <c r="Y50" s="68">
        <f t="shared" si="3"/>
        <v>0</v>
      </c>
      <c r="Z50" s="68">
        <f t="shared" si="4"/>
        <v>0</v>
      </c>
      <c r="AA50" s="72"/>
      <c r="AB50" s="68">
        <f t="shared" si="7"/>
        <v>0</v>
      </c>
      <c r="AC50" s="68">
        <f t="shared" si="8"/>
        <v>0</v>
      </c>
      <c r="AD50" s="68"/>
      <c r="AE50" s="55"/>
      <c r="AF50" s="69">
        <f t="shared" si="5"/>
        <v>0</v>
      </c>
      <c r="AG50" s="86"/>
      <c r="AH50" s="108"/>
      <c r="AI50" s="108"/>
      <c r="AJ50" s="108"/>
      <c r="AK50" s="70">
        <f t="shared" si="6"/>
        <v>0</v>
      </c>
      <c r="AL50" s="71"/>
      <c r="AM50" s="48"/>
      <c r="AN50" s="5"/>
      <c r="AO50" s="5"/>
      <c r="AP50" s="5"/>
      <c r="AQ50" s="5"/>
      <c r="AR50" s="7"/>
      <c r="AS50" s="7"/>
      <c r="AT50" s="7"/>
      <c r="AU50" s="7"/>
      <c r="AV50" s="7"/>
      <c r="AW50"/>
      <c r="AX50"/>
      <c r="AY50"/>
      <c r="AZ50"/>
      <c r="BA50"/>
      <c r="BB50"/>
      <c r="BC50"/>
      <c r="BD50"/>
      <c r="BE50"/>
      <c r="BF50"/>
      <c r="BG50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/>
      <c r="CG50"/>
      <c r="CH50"/>
      <c r="CI50"/>
      <c r="CJ50"/>
      <c r="CK50"/>
      <c r="CL50"/>
      <c r="CM50"/>
      <c r="CN50"/>
      <c r="CO50"/>
      <c r="CP50"/>
      <c r="CQ50"/>
      <c r="CR50"/>
      <c r="CS50"/>
      <c r="CT50"/>
      <c r="CU50"/>
      <c r="CV50"/>
      <c r="CW50"/>
      <c r="CX50"/>
      <c r="CY50"/>
      <c r="CZ50"/>
      <c r="DA50"/>
      <c r="DB50"/>
      <c r="DC50"/>
      <c r="DD50"/>
      <c r="DE50"/>
      <c r="DF50"/>
      <c r="DG50"/>
      <c r="DH50"/>
      <c r="DI50"/>
      <c r="DJ50"/>
      <c r="DK50"/>
    </row>
    <row r="51" spans="1:115" s="42" customFormat="1" ht="15.75" customHeight="1" x14ac:dyDescent="0.3">
      <c r="A51" s="65"/>
      <c r="B51" s="109"/>
      <c r="C51" s="110"/>
      <c r="D51" s="110"/>
      <c r="E51" s="111"/>
      <c r="F51" s="90"/>
      <c r="G51" s="86"/>
      <c r="H51" s="86"/>
      <c r="I51" s="86"/>
      <c r="J51" s="86"/>
      <c r="K51" s="86"/>
      <c r="L51" s="86"/>
      <c r="M51" s="86"/>
      <c r="N51" s="86"/>
      <c r="O51" s="86"/>
      <c r="P51" s="86"/>
      <c r="Q51" s="67">
        <f t="shared" si="0"/>
        <v>0</v>
      </c>
      <c r="R51" s="67">
        <f t="shared" si="1"/>
        <v>0</v>
      </c>
      <c r="S51" s="86"/>
      <c r="T51" s="86"/>
      <c r="U51" s="86"/>
      <c r="V51" s="86"/>
      <c r="W51" s="66">
        <f t="shared" si="2"/>
        <v>0</v>
      </c>
      <c r="X51" s="96"/>
      <c r="Y51" s="68">
        <f t="shared" si="3"/>
        <v>0</v>
      </c>
      <c r="Z51" s="68">
        <f t="shared" si="4"/>
        <v>0</v>
      </c>
      <c r="AA51" s="72"/>
      <c r="AB51" s="68">
        <f t="shared" si="7"/>
        <v>0</v>
      </c>
      <c r="AC51" s="68">
        <f t="shared" si="8"/>
        <v>0</v>
      </c>
      <c r="AD51" s="68"/>
      <c r="AE51" s="55"/>
      <c r="AF51" s="69">
        <f t="shared" si="5"/>
        <v>0</v>
      </c>
      <c r="AG51" s="86"/>
      <c r="AH51" s="108"/>
      <c r="AI51" s="108"/>
      <c r="AJ51" s="108"/>
      <c r="AK51" s="70">
        <f t="shared" si="6"/>
        <v>0</v>
      </c>
      <c r="AL51" s="71"/>
      <c r="AM51" s="48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</row>
    <row r="52" spans="1:115" ht="15" customHeight="1" x14ac:dyDescent="0.3">
      <c r="A52" s="65"/>
      <c r="B52" s="109"/>
      <c r="C52" s="110"/>
      <c r="D52" s="110"/>
      <c r="E52" s="111"/>
      <c r="F52" s="88"/>
      <c r="G52" s="86"/>
      <c r="H52" s="86"/>
      <c r="I52" s="86"/>
      <c r="J52" s="86"/>
      <c r="K52" s="86"/>
      <c r="L52" s="86"/>
      <c r="M52" s="86"/>
      <c r="N52" s="86"/>
      <c r="O52" s="86"/>
      <c r="P52" s="86"/>
      <c r="Q52" s="67">
        <f t="shared" si="0"/>
        <v>0</v>
      </c>
      <c r="R52" s="67">
        <f t="shared" si="1"/>
        <v>0</v>
      </c>
      <c r="S52" s="86"/>
      <c r="T52" s="86"/>
      <c r="U52" s="86"/>
      <c r="V52" s="86"/>
      <c r="W52" s="66">
        <f t="shared" si="2"/>
        <v>0</v>
      </c>
      <c r="X52" s="98"/>
      <c r="Y52" s="68">
        <f t="shared" si="3"/>
        <v>0</v>
      </c>
      <c r="Z52" s="68">
        <f t="shared" si="4"/>
        <v>0</v>
      </c>
      <c r="AA52" s="72"/>
      <c r="AB52" s="68">
        <f t="shared" si="7"/>
        <v>0</v>
      </c>
      <c r="AC52" s="68">
        <f t="shared" si="8"/>
        <v>0</v>
      </c>
      <c r="AD52" s="68"/>
      <c r="AE52" s="55"/>
      <c r="AF52" s="69">
        <f t="shared" si="5"/>
        <v>0</v>
      </c>
      <c r="AG52" s="86"/>
      <c r="AH52" s="108"/>
      <c r="AI52" s="108"/>
      <c r="AJ52" s="108"/>
      <c r="AK52" s="70">
        <f t="shared" si="6"/>
        <v>0</v>
      </c>
      <c r="AL52" s="71"/>
      <c r="AM52" s="48"/>
      <c r="AN52" s="5"/>
      <c r="AO52" s="5"/>
      <c r="AP52" s="5"/>
      <c r="AQ52" s="5"/>
      <c r="AR52" s="7"/>
      <c r="AS52" s="7"/>
      <c r="AT52" s="7"/>
      <c r="AU52" s="7"/>
      <c r="AV52" s="7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</row>
    <row r="53" spans="1:115" ht="15" customHeight="1" x14ac:dyDescent="0.3">
      <c r="A53" s="65"/>
      <c r="B53" s="109"/>
      <c r="C53" s="110"/>
      <c r="D53" s="110"/>
      <c r="E53" s="111"/>
      <c r="F53" s="90" t="s">
        <v>52</v>
      </c>
      <c r="G53" s="86"/>
      <c r="H53" s="86"/>
      <c r="I53" s="86"/>
      <c r="J53" s="86"/>
      <c r="K53" s="86"/>
      <c r="L53" s="86"/>
      <c r="M53" s="86"/>
      <c r="N53" s="86"/>
      <c r="O53" s="86"/>
      <c r="P53" s="86"/>
      <c r="Q53" s="67">
        <f t="shared" si="0"/>
        <v>0</v>
      </c>
      <c r="R53" s="67">
        <f t="shared" si="1"/>
        <v>0</v>
      </c>
      <c r="S53" s="86"/>
      <c r="T53" s="86"/>
      <c r="U53" s="86"/>
      <c r="V53" s="86"/>
      <c r="W53" s="66">
        <f t="shared" si="2"/>
        <v>0</v>
      </c>
      <c r="X53" s="98"/>
      <c r="Y53" s="68">
        <f t="shared" si="3"/>
        <v>0</v>
      </c>
      <c r="Z53" s="68">
        <f t="shared" si="4"/>
        <v>0</v>
      </c>
      <c r="AA53" s="72"/>
      <c r="AB53" s="68">
        <f t="shared" si="7"/>
        <v>0</v>
      </c>
      <c r="AC53" s="68">
        <f t="shared" si="8"/>
        <v>0</v>
      </c>
      <c r="AD53" s="68"/>
      <c r="AE53" s="55"/>
      <c r="AF53" s="69">
        <f t="shared" si="5"/>
        <v>0</v>
      </c>
      <c r="AG53" s="86"/>
      <c r="AH53" s="108"/>
      <c r="AI53" s="108"/>
      <c r="AJ53" s="108"/>
      <c r="AK53" s="70">
        <f t="shared" si="6"/>
        <v>0</v>
      </c>
      <c r="AL53" s="71"/>
      <c r="AM53" s="48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</row>
    <row r="54" spans="1:115" ht="15" customHeight="1" x14ac:dyDescent="0.3">
      <c r="A54" s="65"/>
      <c r="B54" s="109"/>
      <c r="C54" s="110"/>
      <c r="D54" s="110"/>
      <c r="E54" s="111"/>
      <c r="F54" s="85"/>
      <c r="G54" s="86"/>
      <c r="H54" s="86"/>
      <c r="I54" s="86"/>
      <c r="J54" s="86"/>
      <c r="K54" s="86"/>
      <c r="L54" s="86"/>
      <c r="M54" s="86"/>
      <c r="N54" s="86"/>
      <c r="O54" s="86"/>
      <c r="P54" s="86"/>
      <c r="Q54" s="67">
        <f t="shared" si="0"/>
        <v>0</v>
      </c>
      <c r="R54" s="67">
        <f t="shared" si="1"/>
        <v>0</v>
      </c>
      <c r="S54" s="86"/>
      <c r="T54" s="86"/>
      <c r="U54" s="86"/>
      <c r="V54" s="86"/>
      <c r="W54" s="66">
        <f t="shared" si="2"/>
        <v>0</v>
      </c>
      <c r="X54" s="98"/>
      <c r="Y54" s="68">
        <f t="shared" si="3"/>
        <v>0</v>
      </c>
      <c r="Z54" s="68">
        <f t="shared" si="4"/>
        <v>0</v>
      </c>
      <c r="AA54" s="72"/>
      <c r="AB54" s="68">
        <f t="shared" si="7"/>
        <v>0</v>
      </c>
      <c r="AC54" s="68">
        <f t="shared" si="8"/>
        <v>0</v>
      </c>
      <c r="AD54" s="68"/>
      <c r="AE54" s="55"/>
      <c r="AF54" s="69">
        <f t="shared" si="5"/>
        <v>0</v>
      </c>
      <c r="AG54" s="86"/>
      <c r="AH54" s="108"/>
      <c r="AI54" s="108"/>
      <c r="AJ54" s="108"/>
      <c r="AK54" s="70">
        <f t="shared" si="6"/>
        <v>0</v>
      </c>
      <c r="AL54" s="71"/>
      <c r="AM54" s="48"/>
      <c r="AN54" s="5"/>
      <c r="AO54" s="5"/>
      <c r="AP54" s="5"/>
      <c r="AQ54" s="5"/>
      <c r="AR54" s="7"/>
      <c r="AS54" s="7"/>
      <c r="AT54" s="7"/>
      <c r="AU54" s="7"/>
      <c r="AV54" s="7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</row>
    <row r="55" spans="1:115" ht="15" customHeight="1" x14ac:dyDescent="0.3">
      <c r="A55" s="65"/>
      <c r="B55" s="109"/>
      <c r="C55" s="110"/>
      <c r="D55" s="110"/>
      <c r="E55" s="111"/>
      <c r="F55" s="85"/>
      <c r="G55" s="86"/>
      <c r="H55" s="86"/>
      <c r="I55" s="86"/>
      <c r="J55" s="86"/>
      <c r="K55" s="86"/>
      <c r="L55" s="86"/>
      <c r="M55" s="86"/>
      <c r="N55" s="86"/>
      <c r="O55" s="86"/>
      <c r="P55" s="86"/>
      <c r="Q55" s="67">
        <f t="shared" si="0"/>
        <v>0</v>
      </c>
      <c r="R55" s="67">
        <f t="shared" si="1"/>
        <v>0</v>
      </c>
      <c r="S55" s="86"/>
      <c r="T55" s="86"/>
      <c r="U55" s="86"/>
      <c r="V55" s="86"/>
      <c r="W55" s="66">
        <f t="shared" si="2"/>
        <v>0</v>
      </c>
      <c r="X55" s="98"/>
      <c r="Y55" s="68">
        <f t="shared" si="3"/>
        <v>0</v>
      </c>
      <c r="Z55" s="68">
        <f t="shared" si="4"/>
        <v>0</v>
      </c>
      <c r="AA55" s="72"/>
      <c r="AB55" s="68">
        <f t="shared" si="7"/>
        <v>0</v>
      </c>
      <c r="AC55" s="68">
        <f t="shared" si="8"/>
        <v>0</v>
      </c>
      <c r="AD55" s="68"/>
      <c r="AE55" s="55"/>
      <c r="AF55" s="69">
        <f t="shared" si="5"/>
        <v>0</v>
      </c>
      <c r="AG55" s="86"/>
      <c r="AH55" s="108"/>
      <c r="AI55" s="108"/>
      <c r="AJ55" s="108"/>
      <c r="AK55" s="70">
        <f t="shared" si="6"/>
        <v>0</v>
      </c>
      <c r="AL55" s="71"/>
      <c r="AM55" s="48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</row>
    <row r="56" spans="1:115" ht="15" customHeight="1" x14ac:dyDescent="0.3">
      <c r="A56" s="65"/>
      <c r="B56" s="109"/>
      <c r="C56" s="110"/>
      <c r="D56" s="110"/>
      <c r="E56" s="111"/>
      <c r="F56" s="91"/>
      <c r="G56" s="86"/>
      <c r="H56" s="86"/>
      <c r="I56" s="86"/>
      <c r="J56" s="86"/>
      <c r="K56" s="86"/>
      <c r="L56" s="86"/>
      <c r="M56" s="86"/>
      <c r="N56" s="86"/>
      <c r="O56" s="86"/>
      <c r="P56" s="86"/>
      <c r="Q56" s="67">
        <f t="shared" si="0"/>
        <v>0</v>
      </c>
      <c r="R56" s="67">
        <f t="shared" si="1"/>
        <v>0</v>
      </c>
      <c r="S56" s="86"/>
      <c r="T56" s="86"/>
      <c r="U56" s="86"/>
      <c r="V56" s="86"/>
      <c r="W56" s="66">
        <f t="shared" si="2"/>
        <v>0</v>
      </c>
      <c r="X56" s="98"/>
      <c r="Y56" s="68">
        <f t="shared" si="3"/>
        <v>0</v>
      </c>
      <c r="Z56" s="68">
        <f t="shared" si="4"/>
        <v>0</v>
      </c>
      <c r="AA56" s="72"/>
      <c r="AB56" s="68">
        <f t="shared" si="7"/>
        <v>0</v>
      </c>
      <c r="AC56" s="68">
        <f t="shared" si="8"/>
        <v>0</v>
      </c>
      <c r="AD56" s="68"/>
      <c r="AE56" s="55"/>
      <c r="AF56" s="69">
        <f t="shared" si="5"/>
        <v>0</v>
      </c>
      <c r="AG56" s="86"/>
      <c r="AH56" s="108"/>
      <c r="AI56" s="108"/>
      <c r="AJ56" s="108"/>
      <c r="AK56" s="70">
        <f t="shared" si="6"/>
        <v>0</v>
      </c>
      <c r="AL56" s="71"/>
      <c r="AM56" s="48"/>
      <c r="AN56" s="5"/>
      <c r="AO56" s="5"/>
      <c r="AP56" s="5"/>
      <c r="AQ56" s="5"/>
      <c r="AR56" s="7"/>
      <c r="AS56" s="7"/>
      <c r="AT56" s="7"/>
      <c r="AU56" s="7"/>
      <c r="AV56" s="7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</row>
    <row r="57" spans="1:115" ht="15" customHeight="1" x14ac:dyDescent="0.3">
      <c r="A57" s="65"/>
      <c r="B57" s="109"/>
      <c r="C57" s="110"/>
      <c r="D57" s="110"/>
      <c r="E57" s="111"/>
      <c r="F57" s="92"/>
      <c r="G57" s="86"/>
      <c r="H57" s="86"/>
      <c r="I57" s="86"/>
      <c r="J57" s="86"/>
      <c r="K57" s="86"/>
      <c r="L57" s="86"/>
      <c r="M57" s="86"/>
      <c r="N57" s="86"/>
      <c r="O57" s="86"/>
      <c r="P57" s="86"/>
      <c r="Q57" s="67">
        <f t="shared" si="0"/>
        <v>0</v>
      </c>
      <c r="R57" s="67">
        <f t="shared" si="1"/>
        <v>0</v>
      </c>
      <c r="S57" s="86"/>
      <c r="T57" s="86"/>
      <c r="U57" s="86"/>
      <c r="V57" s="86"/>
      <c r="W57" s="66">
        <f t="shared" si="2"/>
        <v>0</v>
      </c>
      <c r="X57" s="98"/>
      <c r="Y57" s="68">
        <f t="shared" si="3"/>
        <v>0</v>
      </c>
      <c r="Z57" s="68">
        <f t="shared" si="4"/>
        <v>0</v>
      </c>
      <c r="AA57" s="72"/>
      <c r="AB57" s="68">
        <f t="shared" si="7"/>
        <v>0</v>
      </c>
      <c r="AC57" s="68">
        <f t="shared" si="8"/>
        <v>0</v>
      </c>
      <c r="AD57" s="68"/>
      <c r="AE57" s="55"/>
      <c r="AF57" s="69">
        <f t="shared" si="5"/>
        <v>0</v>
      </c>
      <c r="AG57" s="86"/>
      <c r="AH57" s="108"/>
      <c r="AI57" s="108"/>
      <c r="AJ57" s="108"/>
      <c r="AK57" s="70">
        <f t="shared" si="6"/>
        <v>0</v>
      </c>
      <c r="AL57" s="71"/>
      <c r="AM57" s="48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</row>
    <row r="58" spans="1:115" s="42" customFormat="1" ht="15" customHeight="1" x14ac:dyDescent="0.3">
      <c r="A58" s="65"/>
      <c r="B58" s="109"/>
      <c r="C58" s="110"/>
      <c r="D58" s="110"/>
      <c r="E58" s="111"/>
      <c r="F58" s="93"/>
      <c r="G58" s="86"/>
      <c r="H58" s="86"/>
      <c r="I58" s="86"/>
      <c r="J58" s="86"/>
      <c r="K58" s="86"/>
      <c r="L58" s="86"/>
      <c r="M58" s="86"/>
      <c r="N58" s="86"/>
      <c r="O58" s="86"/>
      <c r="P58" s="86"/>
      <c r="Q58" s="67">
        <f t="shared" si="0"/>
        <v>0</v>
      </c>
      <c r="R58" s="67">
        <f t="shared" si="1"/>
        <v>0</v>
      </c>
      <c r="S58" s="86"/>
      <c r="T58" s="86"/>
      <c r="U58" s="86"/>
      <c r="V58" s="86"/>
      <c r="W58" s="66">
        <f t="shared" si="2"/>
        <v>0</v>
      </c>
      <c r="X58" s="98"/>
      <c r="Y58" s="68">
        <f t="shared" si="3"/>
        <v>0</v>
      </c>
      <c r="Z58" s="68">
        <f t="shared" si="4"/>
        <v>0</v>
      </c>
      <c r="AA58" s="72"/>
      <c r="AB58" s="68">
        <f t="shared" si="7"/>
        <v>0</v>
      </c>
      <c r="AC58" s="68">
        <f t="shared" si="8"/>
        <v>0</v>
      </c>
      <c r="AD58" s="68"/>
      <c r="AE58" s="55"/>
      <c r="AF58" s="69">
        <f t="shared" si="5"/>
        <v>0</v>
      </c>
      <c r="AG58" s="86"/>
      <c r="AH58" s="108"/>
      <c r="AI58" s="108"/>
      <c r="AJ58" s="108"/>
      <c r="AK58" s="70">
        <f t="shared" si="6"/>
        <v>0</v>
      </c>
      <c r="AL58" s="71"/>
      <c r="AM58" s="48"/>
      <c r="AN58" s="5"/>
      <c r="AO58" s="5"/>
      <c r="AP58" s="5"/>
      <c r="AQ58" s="5"/>
      <c r="AR58" s="7"/>
      <c r="AS58" s="7"/>
      <c r="AT58" s="7"/>
      <c r="AU58" s="7"/>
      <c r="AV58" s="7"/>
      <c r="AW58"/>
      <c r="AX58"/>
      <c r="AY58"/>
      <c r="AZ58"/>
      <c r="BA58"/>
      <c r="BB58"/>
      <c r="BC58"/>
      <c r="BD58"/>
      <c r="BE58"/>
      <c r="BF58"/>
      <c r="BG58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/>
      <c r="CG58"/>
      <c r="CH58"/>
      <c r="CI58"/>
      <c r="CJ58"/>
      <c r="CK58"/>
      <c r="CL58"/>
      <c r="CM58"/>
      <c r="CN58"/>
      <c r="CO58"/>
      <c r="CP58"/>
      <c r="CQ58"/>
      <c r="CR58"/>
      <c r="CS58"/>
      <c r="CT58"/>
      <c r="CU58"/>
      <c r="CV58"/>
      <c r="CW58"/>
      <c r="CX58"/>
      <c r="CY58"/>
      <c r="CZ58"/>
      <c r="DA58"/>
      <c r="DB58"/>
      <c r="DC58"/>
      <c r="DD58"/>
      <c r="DE58"/>
      <c r="DF58"/>
      <c r="DG58"/>
      <c r="DH58"/>
      <c r="DI58"/>
      <c r="DJ58"/>
      <c r="DK58"/>
    </row>
    <row r="59" spans="1:115" s="42" customFormat="1" ht="15" customHeight="1" x14ac:dyDescent="0.3">
      <c r="A59" s="65"/>
      <c r="B59" s="109"/>
      <c r="C59" s="110"/>
      <c r="D59" s="110"/>
      <c r="E59" s="111"/>
      <c r="F59" s="85"/>
      <c r="G59" s="86"/>
      <c r="H59" s="86"/>
      <c r="I59" s="86"/>
      <c r="J59" s="86"/>
      <c r="K59" s="86"/>
      <c r="L59" s="86"/>
      <c r="M59" s="86"/>
      <c r="N59" s="86"/>
      <c r="O59" s="86"/>
      <c r="P59" s="86"/>
      <c r="Q59" s="67">
        <f t="shared" si="0"/>
        <v>0</v>
      </c>
      <c r="R59" s="67">
        <f t="shared" si="1"/>
        <v>0</v>
      </c>
      <c r="S59" s="86"/>
      <c r="T59" s="86"/>
      <c r="U59" s="86"/>
      <c r="V59" s="86"/>
      <c r="W59" s="66">
        <f t="shared" si="2"/>
        <v>0</v>
      </c>
      <c r="X59" s="98"/>
      <c r="Y59" s="68">
        <f t="shared" si="3"/>
        <v>0</v>
      </c>
      <c r="Z59" s="68">
        <f t="shared" si="4"/>
        <v>0</v>
      </c>
      <c r="AA59" s="72"/>
      <c r="AB59" s="68">
        <f t="shared" si="7"/>
        <v>0</v>
      </c>
      <c r="AC59" s="68">
        <f t="shared" si="8"/>
        <v>0</v>
      </c>
      <c r="AD59" s="68"/>
      <c r="AE59" s="55"/>
      <c r="AF59" s="69">
        <f t="shared" si="5"/>
        <v>0</v>
      </c>
      <c r="AG59" s="86"/>
      <c r="AH59" s="108"/>
      <c r="AI59" s="108"/>
      <c r="AJ59" s="108"/>
      <c r="AK59" s="70">
        <f t="shared" si="6"/>
        <v>0</v>
      </c>
      <c r="AL59" s="71"/>
      <c r="AM59" s="48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</row>
    <row r="60" spans="1:115" ht="15" customHeight="1" x14ac:dyDescent="0.3">
      <c r="A60" s="65"/>
      <c r="B60" s="109"/>
      <c r="C60" s="110"/>
      <c r="D60" s="110"/>
      <c r="E60" s="111"/>
      <c r="F60" s="85"/>
      <c r="G60" s="86"/>
      <c r="H60" s="86"/>
      <c r="I60" s="86"/>
      <c r="J60" s="86"/>
      <c r="K60" s="86"/>
      <c r="L60" s="86"/>
      <c r="M60" s="86"/>
      <c r="N60" s="86"/>
      <c r="O60" s="86"/>
      <c r="P60" s="86"/>
      <c r="Q60" s="67">
        <f t="shared" si="0"/>
        <v>0</v>
      </c>
      <c r="R60" s="67">
        <f t="shared" si="1"/>
        <v>0</v>
      </c>
      <c r="S60" s="86"/>
      <c r="T60" s="86"/>
      <c r="U60" s="86"/>
      <c r="V60" s="86"/>
      <c r="W60" s="66">
        <f t="shared" si="2"/>
        <v>0</v>
      </c>
      <c r="X60" s="98"/>
      <c r="Y60" s="68">
        <f t="shared" si="3"/>
        <v>0</v>
      </c>
      <c r="Z60" s="68">
        <f t="shared" si="4"/>
        <v>0</v>
      </c>
      <c r="AA60" s="72"/>
      <c r="AB60" s="68">
        <f t="shared" si="7"/>
        <v>0</v>
      </c>
      <c r="AC60" s="68">
        <f t="shared" si="8"/>
        <v>0</v>
      </c>
      <c r="AD60" s="68"/>
      <c r="AE60" s="55"/>
      <c r="AF60" s="69">
        <f t="shared" si="5"/>
        <v>0</v>
      </c>
      <c r="AG60" s="86"/>
      <c r="AH60" s="108"/>
      <c r="AI60" s="108"/>
      <c r="AJ60" s="108"/>
      <c r="AK60" s="70">
        <f t="shared" si="6"/>
        <v>0</v>
      </c>
      <c r="AL60" s="71"/>
      <c r="AM60" s="48"/>
      <c r="AN60" s="5"/>
      <c r="AO60" s="5"/>
      <c r="AP60" s="5"/>
      <c r="AQ60" s="5"/>
      <c r="AR60" s="7"/>
      <c r="AS60" s="7"/>
      <c r="AT60" s="7"/>
      <c r="AU60" s="7"/>
      <c r="AV60" s="7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</row>
    <row r="61" spans="1:115" ht="15.75" customHeight="1" x14ac:dyDescent="0.3">
      <c r="A61" s="65"/>
      <c r="B61" s="109"/>
      <c r="C61" s="110"/>
      <c r="D61" s="110"/>
      <c r="E61" s="111"/>
      <c r="F61" s="85"/>
      <c r="G61" s="86"/>
      <c r="H61" s="86"/>
      <c r="I61" s="86"/>
      <c r="J61" s="86"/>
      <c r="K61" s="86"/>
      <c r="L61" s="86"/>
      <c r="M61" s="86"/>
      <c r="N61" s="86"/>
      <c r="O61" s="86"/>
      <c r="P61" s="87"/>
      <c r="Q61" s="72">
        <f>P61*0.02</f>
        <v>0</v>
      </c>
      <c r="R61" s="72">
        <f>P61+Q61</f>
        <v>0</v>
      </c>
      <c r="S61" s="86"/>
      <c r="T61" s="86"/>
      <c r="U61" s="86"/>
      <c r="V61" s="86"/>
      <c r="W61" s="73">
        <f>G61+I61+K61+M61+O61+R61+S61+T61+U61+V61</f>
        <v>0</v>
      </c>
      <c r="X61" s="102"/>
      <c r="Y61" s="68">
        <f>X61*0.02</f>
        <v>0</v>
      </c>
      <c r="Z61" s="68">
        <f>X61+Y61</f>
        <v>0</v>
      </c>
      <c r="AA61" s="72"/>
      <c r="AB61" s="68">
        <f t="shared" si="7"/>
        <v>0</v>
      </c>
      <c r="AC61" s="68">
        <f t="shared" si="8"/>
        <v>0</v>
      </c>
      <c r="AD61" s="68"/>
      <c r="AE61" s="55"/>
      <c r="AF61" s="69">
        <f t="shared" si="5"/>
        <v>0</v>
      </c>
      <c r="AG61" s="86"/>
      <c r="AH61" s="108"/>
      <c r="AI61" s="108"/>
      <c r="AJ61" s="108"/>
      <c r="AK61" s="70">
        <f t="shared" si="6"/>
        <v>0</v>
      </c>
      <c r="AL61" s="71"/>
      <c r="AM61" s="48"/>
      <c r="AN61" s="5"/>
      <c r="AO61" s="5"/>
      <c r="AP61" s="5"/>
      <c r="AQ61" s="5"/>
      <c r="AR61" s="7"/>
      <c r="AS61" s="7"/>
      <c r="AT61" s="7"/>
      <c r="AU61" s="7"/>
      <c r="AV61" s="7"/>
      <c r="CE61" s="1"/>
    </row>
    <row r="62" spans="1:115" ht="15" customHeight="1" x14ac:dyDescent="0.3">
      <c r="A62" s="65"/>
      <c r="B62" s="109"/>
      <c r="C62" s="110"/>
      <c r="D62" s="110"/>
      <c r="E62" s="111"/>
      <c r="F62" s="85"/>
      <c r="G62" s="86"/>
      <c r="H62" s="86"/>
      <c r="I62" s="86"/>
      <c r="J62" s="86"/>
      <c r="K62" s="86"/>
      <c r="L62" s="86"/>
      <c r="M62" s="86"/>
      <c r="N62" s="86"/>
      <c r="O62" s="86"/>
      <c r="P62" s="86"/>
      <c r="Q62" s="67">
        <f t="shared" si="0"/>
        <v>0</v>
      </c>
      <c r="R62" s="67">
        <f t="shared" si="1"/>
        <v>0</v>
      </c>
      <c r="S62" s="86"/>
      <c r="T62" s="86"/>
      <c r="U62" s="86"/>
      <c r="V62" s="86"/>
      <c r="W62" s="66">
        <f t="shared" si="2"/>
        <v>0</v>
      </c>
      <c r="X62" s="98"/>
      <c r="Y62" s="68">
        <f t="shared" si="3"/>
        <v>0</v>
      </c>
      <c r="Z62" s="68">
        <f t="shared" si="4"/>
        <v>0</v>
      </c>
      <c r="AA62" s="72"/>
      <c r="AB62" s="68">
        <f t="shared" si="7"/>
        <v>0</v>
      </c>
      <c r="AC62" s="68">
        <f t="shared" si="8"/>
        <v>0</v>
      </c>
      <c r="AD62" s="68"/>
      <c r="AE62" s="55"/>
      <c r="AF62" s="69">
        <f t="shared" si="5"/>
        <v>0</v>
      </c>
      <c r="AG62" s="86"/>
      <c r="AH62" s="108"/>
      <c r="AI62" s="108"/>
      <c r="AJ62" s="108"/>
      <c r="AK62" s="70">
        <f t="shared" si="6"/>
        <v>0</v>
      </c>
      <c r="AL62" s="71"/>
      <c r="AM62" s="48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</row>
    <row r="63" spans="1:115" ht="15" customHeight="1" x14ac:dyDescent="0.3">
      <c r="A63" s="65"/>
      <c r="B63" s="109"/>
      <c r="C63" s="110"/>
      <c r="D63" s="110"/>
      <c r="E63" s="111"/>
      <c r="F63" s="85"/>
      <c r="G63" s="86"/>
      <c r="H63" s="86"/>
      <c r="I63" s="86"/>
      <c r="J63" s="86"/>
      <c r="K63" s="86"/>
      <c r="L63" s="86"/>
      <c r="M63" s="86"/>
      <c r="N63" s="86"/>
      <c r="O63" s="86"/>
      <c r="P63" s="86"/>
      <c r="Q63" s="67">
        <f t="shared" si="0"/>
        <v>0</v>
      </c>
      <c r="R63" s="67">
        <f t="shared" si="1"/>
        <v>0</v>
      </c>
      <c r="S63" s="86"/>
      <c r="T63" s="86"/>
      <c r="U63" s="86"/>
      <c r="V63" s="86"/>
      <c r="W63" s="66">
        <f t="shared" si="2"/>
        <v>0</v>
      </c>
      <c r="X63" s="98"/>
      <c r="Y63" s="68">
        <f t="shared" si="3"/>
        <v>0</v>
      </c>
      <c r="Z63" s="68">
        <f t="shared" si="4"/>
        <v>0</v>
      </c>
      <c r="AA63" s="72"/>
      <c r="AB63" s="68">
        <f t="shared" si="7"/>
        <v>0</v>
      </c>
      <c r="AC63" s="68">
        <f t="shared" si="8"/>
        <v>0</v>
      </c>
      <c r="AD63" s="68"/>
      <c r="AE63" s="55"/>
      <c r="AF63" s="69">
        <f t="shared" si="5"/>
        <v>0</v>
      </c>
      <c r="AG63" s="86"/>
      <c r="AH63" s="108"/>
      <c r="AI63" s="108"/>
      <c r="AJ63" s="108"/>
      <c r="AK63" s="70">
        <f t="shared" si="6"/>
        <v>0</v>
      </c>
      <c r="AL63" s="71"/>
      <c r="AM63" s="48"/>
      <c r="AN63" s="5"/>
      <c r="AO63" s="5"/>
      <c r="AP63" s="5"/>
      <c r="AQ63" s="5"/>
      <c r="AR63" s="7"/>
      <c r="AS63" s="7"/>
      <c r="AT63" s="7"/>
      <c r="AU63" s="7"/>
      <c r="AV63" s="7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</row>
    <row r="64" spans="1:115" ht="15" customHeight="1" x14ac:dyDescent="0.3">
      <c r="A64" s="65"/>
      <c r="B64" s="109"/>
      <c r="C64" s="110"/>
      <c r="D64" s="110"/>
      <c r="E64" s="111"/>
      <c r="F64" s="94"/>
      <c r="G64" s="86"/>
      <c r="H64" s="86"/>
      <c r="I64" s="86"/>
      <c r="J64" s="86"/>
      <c r="K64" s="86"/>
      <c r="L64" s="86"/>
      <c r="M64" s="86"/>
      <c r="N64" s="86"/>
      <c r="O64" s="86"/>
      <c r="P64" s="86"/>
      <c r="Q64" s="67">
        <f t="shared" si="0"/>
        <v>0</v>
      </c>
      <c r="R64" s="67">
        <f t="shared" si="1"/>
        <v>0</v>
      </c>
      <c r="S64" s="86"/>
      <c r="T64" s="86"/>
      <c r="U64" s="86"/>
      <c r="V64" s="86"/>
      <c r="W64" s="66">
        <f t="shared" si="2"/>
        <v>0</v>
      </c>
      <c r="X64" s="98"/>
      <c r="Y64" s="68">
        <f t="shared" si="3"/>
        <v>0</v>
      </c>
      <c r="Z64" s="68">
        <f t="shared" si="4"/>
        <v>0</v>
      </c>
      <c r="AA64" s="72"/>
      <c r="AB64" s="68">
        <f t="shared" si="7"/>
        <v>0</v>
      </c>
      <c r="AC64" s="68">
        <f t="shared" si="8"/>
        <v>0</v>
      </c>
      <c r="AD64" s="68"/>
      <c r="AE64" s="55"/>
      <c r="AF64" s="69">
        <f t="shared" si="5"/>
        <v>0</v>
      </c>
      <c r="AG64" s="86"/>
      <c r="AH64" s="108"/>
      <c r="AI64" s="108"/>
      <c r="AJ64" s="108"/>
      <c r="AK64" s="70">
        <f t="shared" si="6"/>
        <v>0</v>
      </c>
      <c r="AL64" s="71"/>
      <c r="AM64" s="48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</row>
    <row r="65" spans="1:151" s="75" customFormat="1" ht="15" customHeight="1" x14ac:dyDescent="0.3">
      <c r="A65" s="65"/>
      <c r="B65" s="109"/>
      <c r="C65" s="110"/>
      <c r="D65" s="110"/>
      <c r="E65" s="111"/>
      <c r="F65" s="85"/>
      <c r="G65" s="86"/>
      <c r="H65" s="86"/>
      <c r="I65" s="86"/>
      <c r="J65" s="86"/>
      <c r="K65" s="86"/>
      <c r="L65" s="86"/>
      <c r="M65" s="86"/>
      <c r="N65" s="86"/>
      <c r="O65" s="86"/>
      <c r="P65" s="86"/>
      <c r="Q65" s="67">
        <f t="shared" si="0"/>
        <v>0</v>
      </c>
      <c r="R65" s="67">
        <f t="shared" si="1"/>
        <v>0</v>
      </c>
      <c r="S65" s="86"/>
      <c r="T65" s="86"/>
      <c r="U65" s="86"/>
      <c r="V65" s="86"/>
      <c r="W65" s="66">
        <f t="shared" si="2"/>
        <v>0</v>
      </c>
      <c r="X65" s="98"/>
      <c r="Y65" s="68">
        <f t="shared" si="3"/>
        <v>0</v>
      </c>
      <c r="Z65" s="68">
        <f t="shared" si="4"/>
        <v>0</v>
      </c>
      <c r="AA65" s="72"/>
      <c r="AB65" s="68">
        <f t="shared" si="7"/>
        <v>0</v>
      </c>
      <c r="AC65" s="68">
        <f t="shared" si="8"/>
        <v>0</v>
      </c>
      <c r="AD65" s="68"/>
      <c r="AE65" s="55"/>
      <c r="AF65" s="69">
        <f t="shared" si="5"/>
        <v>0</v>
      </c>
      <c r="AG65" s="86"/>
      <c r="AH65" s="108"/>
      <c r="AI65" s="108"/>
      <c r="AJ65" s="108"/>
      <c r="AK65" s="70">
        <f t="shared" si="6"/>
        <v>0</v>
      </c>
      <c r="AL65" s="71"/>
      <c r="AM65" s="48"/>
      <c r="AN65" s="5"/>
      <c r="AO65" s="5"/>
      <c r="AP65" s="5"/>
      <c r="AQ65" s="5"/>
      <c r="AR65" s="7"/>
      <c r="AS65" s="7"/>
      <c r="AT65" s="7"/>
      <c r="AU65" s="7"/>
      <c r="AV65" s="7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  <c r="BR65"/>
      <c r="BS65"/>
      <c r="BT65"/>
      <c r="BU65"/>
      <c r="BV65"/>
      <c r="BW65"/>
      <c r="BX65"/>
      <c r="BY65"/>
      <c r="BZ65"/>
      <c r="CA65"/>
      <c r="CB65"/>
      <c r="CC65"/>
      <c r="CD65"/>
      <c r="CE65" s="1"/>
      <c r="CF65"/>
      <c r="CG65"/>
      <c r="CH65"/>
      <c r="CI65"/>
      <c r="CJ65"/>
      <c r="CK65"/>
      <c r="CL65"/>
      <c r="CM65"/>
      <c r="CN65"/>
      <c r="CO65"/>
      <c r="CP65"/>
      <c r="CQ65"/>
      <c r="CR65"/>
      <c r="CS65"/>
      <c r="CT65"/>
      <c r="CU65"/>
      <c r="CV65"/>
      <c r="CW65"/>
      <c r="CX65"/>
      <c r="CY65"/>
      <c r="CZ65"/>
      <c r="DA65"/>
      <c r="DB65"/>
      <c r="DC65"/>
      <c r="DD65"/>
      <c r="DE65"/>
      <c r="DF65"/>
      <c r="DG65"/>
      <c r="DH65"/>
      <c r="DI65"/>
      <c r="DJ65"/>
      <c r="DK65"/>
      <c r="DL65"/>
      <c r="DM65"/>
      <c r="DN65"/>
      <c r="DO65"/>
      <c r="DP65"/>
      <c r="DQ65"/>
      <c r="DR65"/>
      <c r="DS65"/>
      <c r="DT65"/>
      <c r="DU65"/>
      <c r="DV65"/>
      <c r="DW65"/>
      <c r="DX65"/>
      <c r="DY65"/>
      <c r="DZ65"/>
      <c r="EA65"/>
      <c r="EB65"/>
      <c r="EC65"/>
      <c r="ED65"/>
      <c r="EE65"/>
      <c r="EF65"/>
      <c r="EG65"/>
      <c r="EH65"/>
      <c r="EI65"/>
      <c r="EJ65"/>
      <c r="EK65"/>
      <c r="EL65"/>
      <c r="EM65"/>
      <c r="EN65"/>
      <c r="EO65"/>
      <c r="EP65"/>
      <c r="EQ65"/>
      <c r="ER65"/>
      <c r="ES65"/>
      <c r="ET65"/>
      <c r="EU65"/>
    </row>
    <row r="66" spans="1:151" ht="15" customHeight="1" x14ac:dyDescent="0.3">
      <c r="A66" s="65"/>
      <c r="B66" s="109"/>
      <c r="C66" s="110"/>
      <c r="D66" s="110"/>
      <c r="E66" s="111"/>
      <c r="F66" s="85"/>
      <c r="G66" s="86"/>
      <c r="H66" s="86"/>
      <c r="I66" s="86"/>
      <c r="J66" s="86"/>
      <c r="K66" s="86"/>
      <c r="L66" s="86"/>
      <c r="M66" s="86"/>
      <c r="N66" s="86"/>
      <c r="O66" s="86"/>
      <c r="P66" s="86"/>
      <c r="Q66" s="67">
        <f t="shared" si="0"/>
        <v>0</v>
      </c>
      <c r="R66" s="67">
        <f t="shared" si="1"/>
        <v>0</v>
      </c>
      <c r="S66" s="86"/>
      <c r="T66" s="86"/>
      <c r="U66" s="86"/>
      <c r="V66" s="86"/>
      <c r="W66" s="66">
        <f t="shared" si="2"/>
        <v>0</v>
      </c>
      <c r="X66" s="96"/>
      <c r="Y66" s="68">
        <f t="shared" si="3"/>
        <v>0</v>
      </c>
      <c r="Z66" s="68">
        <f t="shared" si="4"/>
        <v>0</v>
      </c>
      <c r="AA66" s="72"/>
      <c r="AB66" s="68">
        <f t="shared" si="7"/>
        <v>0</v>
      </c>
      <c r="AC66" s="68">
        <f t="shared" si="8"/>
        <v>0</v>
      </c>
      <c r="AD66" s="68"/>
      <c r="AE66" s="55"/>
      <c r="AF66" s="69">
        <f t="shared" si="5"/>
        <v>0</v>
      </c>
      <c r="AG66" s="86"/>
      <c r="AH66" s="108"/>
      <c r="AI66" s="108"/>
      <c r="AJ66" s="108"/>
      <c r="AK66" s="70">
        <f t="shared" si="6"/>
        <v>0</v>
      </c>
      <c r="AL66" s="71"/>
      <c r="AM66" s="48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</row>
    <row r="67" spans="1:151" s="42" customFormat="1" ht="15" customHeight="1" x14ac:dyDescent="0.3">
      <c r="A67" s="65"/>
      <c r="B67" s="109"/>
      <c r="C67" s="110"/>
      <c r="D67" s="110"/>
      <c r="E67" s="111"/>
      <c r="F67" s="85"/>
      <c r="G67" s="86"/>
      <c r="H67" s="86"/>
      <c r="I67" s="86"/>
      <c r="J67" s="86"/>
      <c r="K67" s="86"/>
      <c r="L67" s="86"/>
      <c r="M67" s="86"/>
      <c r="N67" s="86"/>
      <c r="O67" s="86"/>
      <c r="P67" s="86"/>
      <c r="Q67" s="67">
        <f t="shared" si="0"/>
        <v>0</v>
      </c>
      <c r="R67" s="67">
        <f t="shared" si="1"/>
        <v>0</v>
      </c>
      <c r="S67" s="86"/>
      <c r="T67" s="86"/>
      <c r="U67" s="86"/>
      <c r="V67" s="86"/>
      <c r="W67" s="66">
        <f t="shared" si="2"/>
        <v>0</v>
      </c>
      <c r="X67" s="98"/>
      <c r="Y67" s="68">
        <f t="shared" si="3"/>
        <v>0</v>
      </c>
      <c r="Z67" s="68">
        <f t="shared" si="4"/>
        <v>0</v>
      </c>
      <c r="AA67" s="72"/>
      <c r="AB67" s="68">
        <f t="shared" si="7"/>
        <v>0</v>
      </c>
      <c r="AC67" s="68">
        <f t="shared" si="8"/>
        <v>0</v>
      </c>
      <c r="AD67" s="68"/>
      <c r="AE67" s="55"/>
      <c r="AF67" s="69">
        <f t="shared" si="5"/>
        <v>0</v>
      </c>
      <c r="AG67" s="86"/>
      <c r="AH67" s="108"/>
      <c r="AI67" s="108"/>
      <c r="AJ67" s="108"/>
      <c r="AK67" s="70">
        <f t="shared" si="6"/>
        <v>0</v>
      </c>
      <c r="AL67" s="71"/>
      <c r="AM67" s="48"/>
      <c r="AN67" s="5"/>
      <c r="AO67" s="5"/>
      <c r="AP67" s="5"/>
      <c r="AQ67" s="5"/>
      <c r="AR67" s="7"/>
      <c r="AS67" s="7"/>
      <c r="AT67" s="7"/>
      <c r="AU67" s="7"/>
      <c r="AV67" s="7"/>
      <c r="AW67"/>
      <c r="AX67"/>
      <c r="AY67"/>
      <c r="AZ67"/>
      <c r="BA67"/>
      <c r="BB67"/>
      <c r="BC67"/>
      <c r="BD67"/>
      <c r="BE67"/>
      <c r="BF67"/>
      <c r="BG67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/>
      <c r="CG67"/>
      <c r="CH67"/>
      <c r="CI67"/>
      <c r="CJ67"/>
      <c r="CK67"/>
      <c r="CL67"/>
      <c r="CM67"/>
      <c r="CN67"/>
      <c r="CO67"/>
      <c r="CP67"/>
      <c r="CQ67"/>
      <c r="CR67"/>
      <c r="CS67"/>
      <c r="CT67"/>
      <c r="CU67"/>
      <c r="CV67"/>
      <c r="CW67"/>
      <c r="CX67"/>
      <c r="CY67"/>
      <c r="CZ67"/>
      <c r="DA67"/>
      <c r="DB67"/>
      <c r="DC67"/>
      <c r="DD67"/>
      <c r="DE67"/>
      <c r="DF67"/>
      <c r="DG67"/>
      <c r="DH67"/>
      <c r="DI67"/>
      <c r="DJ67"/>
      <c r="DK67"/>
      <c r="DL67"/>
      <c r="DM67"/>
      <c r="DN67"/>
      <c r="DO67"/>
      <c r="DP67"/>
      <c r="DQ67"/>
      <c r="DR67"/>
      <c r="DS67"/>
      <c r="DT67"/>
      <c r="DU67"/>
      <c r="DV67"/>
      <c r="DW67"/>
      <c r="DX67"/>
      <c r="DY67"/>
      <c r="DZ67"/>
      <c r="EA67"/>
      <c r="EB67"/>
      <c r="EC67"/>
      <c r="ED67"/>
      <c r="EE67"/>
      <c r="EF67"/>
      <c r="EG67"/>
      <c r="EH67"/>
      <c r="EI67"/>
      <c r="EJ67"/>
      <c r="EK67"/>
      <c r="EL67"/>
      <c r="EM67"/>
      <c r="EN67"/>
      <c r="EO67"/>
      <c r="EP67"/>
      <c r="EQ67"/>
      <c r="ER67"/>
      <c r="ES67"/>
      <c r="ET67"/>
      <c r="EU67"/>
    </row>
    <row r="68" spans="1:151" ht="15" customHeight="1" x14ac:dyDescent="0.3">
      <c r="A68" s="65"/>
      <c r="B68" s="109"/>
      <c r="C68" s="110"/>
      <c r="D68" s="110"/>
      <c r="E68" s="111"/>
      <c r="F68" s="85" t="s">
        <v>53</v>
      </c>
      <c r="G68" s="86"/>
      <c r="H68" s="86"/>
      <c r="I68" s="86"/>
      <c r="J68" s="86"/>
      <c r="K68" s="86"/>
      <c r="L68" s="86"/>
      <c r="M68" s="86"/>
      <c r="N68" s="86"/>
      <c r="O68" s="86"/>
      <c r="P68" s="89"/>
      <c r="Q68" s="67">
        <f t="shared" si="0"/>
        <v>0</v>
      </c>
      <c r="R68" s="67">
        <f t="shared" si="1"/>
        <v>0</v>
      </c>
      <c r="S68" s="86"/>
      <c r="T68" s="86"/>
      <c r="U68" s="86"/>
      <c r="V68" s="86"/>
      <c r="W68" s="66">
        <f t="shared" si="2"/>
        <v>0</v>
      </c>
      <c r="X68" s="97"/>
      <c r="Y68" s="68">
        <f t="shared" si="3"/>
        <v>0</v>
      </c>
      <c r="Z68" s="68">
        <f t="shared" si="4"/>
        <v>0</v>
      </c>
      <c r="AA68" s="72"/>
      <c r="AB68" s="68">
        <f t="shared" si="7"/>
        <v>0</v>
      </c>
      <c r="AC68" s="68">
        <f t="shared" si="8"/>
        <v>0</v>
      </c>
      <c r="AD68" s="68"/>
      <c r="AE68" s="55"/>
      <c r="AF68" s="69">
        <f t="shared" si="5"/>
        <v>0</v>
      </c>
      <c r="AG68" s="86"/>
      <c r="AH68" s="108"/>
      <c r="AI68" s="108"/>
      <c r="AJ68" s="108"/>
      <c r="AK68" s="70">
        <f t="shared" si="6"/>
        <v>0</v>
      </c>
      <c r="AL68" s="71"/>
      <c r="AM68" s="48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</row>
    <row r="69" spans="1:151" ht="15" customHeight="1" x14ac:dyDescent="0.3">
      <c r="A69" s="65"/>
      <c r="B69" s="109"/>
      <c r="C69" s="110"/>
      <c r="D69" s="110"/>
      <c r="E69" s="111"/>
      <c r="F69" s="95"/>
      <c r="G69" s="86"/>
      <c r="H69" s="86"/>
      <c r="I69" s="86"/>
      <c r="J69" s="86"/>
      <c r="K69" s="86"/>
      <c r="L69" s="86"/>
      <c r="M69" s="86"/>
      <c r="N69" s="86"/>
      <c r="O69" s="86"/>
      <c r="P69" s="89"/>
      <c r="Q69" s="67">
        <f t="shared" si="0"/>
        <v>0</v>
      </c>
      <c r="R69" s="67">
        <f t="shared" si="1"/>
        <v>0</v>
      </c>
      <c r="S69" s="86"/>
      <c r="T69" s="86"/>
      <c r="U69" s="86"/>
      <c r="V69" s="86"/>
      <c r="W69" s="66">
        <f t="shared" si="2"/>
        <v>0</v>
      </c>
      <c r="X69" s="97"/>
      <c r="Y69" s="68">
        <f t="shared" si="3"/>
        <v>0</v>
      </c>
      <c r="Z69" s="68">
        <f t="shared" si="4"/>
        <v>0</v>
      </c>
      <c r="AA69" s="72"/>
      <c r="AB69" s="68">
        <f t="shared" si="7"/>
        <v>0</v>
      </c>
      <c r="AC69" s="68">
        <f t="shared" si="8"/>
        <v>0</v>
      </c>
      <c r="AD69" s="68"/>
      <c r="AE69" s="55"/>
      <c r="AF69" s="69">
        <f t="shared" si="5"/>
        <v>0</v>
      </c>
      <c r="AG69" s="86"/>
      <c r="AH69" s="108"/>
      <c r="AI69" s="108"/>
      <c r="AJ69" s="108"/>
      <c r="AK69" s="70">
        <f t="shared" si="6"/>
        <v>0</v>
      </c>
      <c r="AL69" s="71"/>
      <c r="AM69" s="48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</row>
    <row r="70" spans="1:151" ht="15" customHeight="1" x14ac:dyDescent="0.3">
      <c r="A70" s="65"/>
      <c r="B70" s="109"/>
      <c r="C70" s="110"/>
      <c r="D70" s="110"/>
      <c r="E70" s="111"/>
      <c r="F70" s="95"/>
      <c r="G70" s="86"/>
      <c r="H70" s="86"/>
      <c r="I70" s="86"/>
      <c r="J70" s="86"/>
      <c r="K70" s="86"/>
      <c r="L70" s="86"/>
      <c r="M70" s="86"/>
      <c r="N70" s="86"/>
      <c r="O70" s="86"/>
      <c r="P70" s="89"/>
      <c r="Q70" s="67">
        <f t="shared" si="0"/>
        <v>0</v>
      </c>
      <c r="R70" s="67">
        <f t="shared" si="1"/>
        <v>0</v>
      </c>
      <c r="S70" s="86"/>
      <c r="T70" s="86"/>
      <c r="U70" s="86"/>
      <c r="V70" s="86"/>
      <c r="W70" s="66">
        <f t="shared" si="2"/>
        <v>0</v>
      </c>
      <c r="X70" s="97"/>
      <c r="Y70" s="68">
        <f t="shared" si="3"/>
        <v>0</v>
      </c>
      <c r="Z70" s="68">
        <f t="shared" si="4"/>
        <v>0</v>
      </c>
      <c r="AA70" s="72"/>
      <c r="AB70" s="68">
        <f t="shared" si="7"/>
        <v>0</v>
      </c>
      <c r="AC70" s="68">
        <f t="shared" si="8"/>
        <v>0</v>
      </c>
      <c r="AD70" s="68"/>
      <c r="AE70" s="55"/>
      <c r="AF70" s="69">
        <f t="shared" si="5"/>
        <v>0</v>
      </c>
      <c r="AG70" s="86"/>
      <c r="AH70" s="108"/>
      <c r="AI70" s="108"/>
      <c r="AJ70" s="108"/>
      <c r="AK70" s="70">
        <f t="shared" si="6"/>
        <v>0</v>
      </c>
      <c r="AL70" s="71"/>
      <c r="AM70" s="48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</row>
    <row r="71" spans="1:151" ht="15" customHeight="1" x14ac:dyDescent="0.3">
      <c r="A71" s="65"/>
      <c r="B71" s="109"/>
      <c r="C71" s="110"/>
      <c r="D71" s="110"/>
      <c r="E71" s="111"/>
      <c r="F71" s="95"/>
      <c r="G71" s="86"/>
      <c r="H71" s="86"/>
      <c r="I71" s="86"/>
      <c r="J71" s="86"/>
      <c r="K71" s="86"/>
      <c r="L71" s="86"/>
      <c r="M71" s="86"/>
      <c r="N71" s="86"/>
      <c r="O71" s="86"/>
      <c r="P71" s="89"/>
      <c r="Q71" s="67">
        <f t="shared" ref="Q71:Q75" si="9">P71*0.02</f>
        <v>0</v>
      </c>
      <c r="R71" s="67">
        <f t="shared" ref="R71:R75" si="10">P71+Q71</f>
        <v>0</v>
      </c>
      <c r="S71" s="86"/>
      <c r="T71" s="86"/>
      <c r="U71" s="86"/>
      <c r="V71" s="86"/>
      <c r="W71" s="66">
        <f t="shared" ref="W71:W75" si="11">G71+I71+K71+M71+O71+R71+S71+T71+U71+V71</f>
        <v>0</v>
      </c>
      <c r="X71" s="97"/>
      <c r="Y71" s="68">
        <f t="shared" ref="Y71:Y75" si="12">X71*0.02</f>
        <v>0</v>
      </c>
      <c r="Z71" s="68">
        <f t="shared" ref="Z71:Z75" si="13">X71+Y71</f>
        <v>0</v>
      </c>
      <c r="AA71" s="72"/>
      <c r="AB71" s="68">
        <f t="shared" si="7"/>
        <v>0</v>
      </c>
      <c r="AC71" s="68">
        <f t="shared" si="8"/>
        <v>0</v>
      </c>
      <c r="AD71" s="68"/>
      <c r="AE71" s="55"/>
      <c r="AF71" s="69">
        <f t="shared" si="5"/>
        <v>0</v>
      </c>
      <c r="AG71" s="86"/>
      <c r="AH71" s="108"/>
      <c r="AI71" s="108"/>
      <c r="AJ71" s="108"/>
      <c r="AK71" s="70">
        <f t="shared" ref="AK71:AK136" si="14">AF71-AG71-AH71-AI71-AJ71</f>
        <v>0</v>
      </c>
      <c r="AL71" s="71"/>
      <c r="AM71" s="48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</row>
    <row r="72" spans="1:151" ht="15" customHeight="1" x14ac:dyDescent="0.3">
      <c r="A72" s="65"/>
      <c r="B72" s="109"/>
      <c r="C72" s="110"/>
      <c r="D72" s="110"/>
      <c r="E72" s="111"/>
      <c r="F72" s="95"/>
      <c r="G72" s="86"/>
      <c r="H72" s="86"/>
      <c r="I72" s="86"/>
      <c r="J72" s="86"/>
      <c r="K72" s="86"/>
      <c r="L72" s="86"/>
      <c r="M72" s="86"/>
      <c r="N72" s="86"/>
      <c r="O72" s="86"/>
      <c r="P72" s="89"/>
      <c r="Q72" s="67">
        <f t="shared" si="9"/>
        <v>0</v>
      </c>
      <c r="R72" s="67">
        <f t="shared" si="10"/>
        <v>0</v>
      </c>
      <c r="S72" s="86"/>
      <c r="T72" s="86"/>
      <c r="U72" s="86"/>
      <c r="V72" s="86"/>
      <c r="W72" s="66">
        <f t="shared" si="11"/>
        <v>0</v>
      </c>
      <c r="X72" s="97"/>
      <c r="Y72" s="68">
        <f t="shared" si="12"/>
        <v>0</v>
      </c>
      <c r="Z72" s="68">
        <f t="shared" si="13"/>
        <v>0</v>
      </c>
      <c r="AA72" s="72"/>
      <c r="AB72" s="68">
        <f t="shared" si="7"/>
        <v>0</v>
      </c>
      <c r="AC72" s="68">
        <f t="shared" si="8"/>
        <v>0</v>
      </c>
      <c r="AD72" s="68"/>
      <c r="AE72" s="55"/>
      <c r="AF72" s="69">
        <f t="shared" si="5"/>
        <v>0</v>
      </c>
      <c r="AG72" s="86"/>
      <c r="AH72" s="108"/>
      <c r="AI72" s="108"/>
      <c r="AJ72" s="108"/>
      <c r="AK72" s="70">
        <f t="shared" si="14"/>
        <v>0</v>
      </c>
      <c r="AL72" s="71"/>
      <c r="AM72" s="48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</row>
    <row r="73" spans="1:151" ht="15" customHeight="1" thickBot="1" x14ac:dyDescent="0.35">
      <c r="A73" s="65"/>
      <c r="B73" s="109"/>
      <c r="C73" s="110"/>
      <c r="D73" s="110"/>
      <c r="E73" s="111"/>
      <c r="F73" s="95"/>
      <c r="G73" s="86"/>
      <c r="H73" s="86"/>
      <c r="I73" s="86"/>
      <c r="J73" s="86"/>
      <c r="K73" s="86"/>
      <c r="L73" s="86"/>
      <c r="M73" s="86"/>
      <c r="N73" s="86"/>
      <c r="O73" s="86"/>
      <c r="P73" s="89"/>
      <c r="Q73" s="67">
        <f t="shared" si="9"/>
        <v>0</v>
      </c>
      <c r="R73" s="67">
        <f t="shared" si="10"/>
        <v>0</v>
      </c>
      <c r="S73" s="86"/>
      <c r="T73" s="86"/>
      <c r="U73" s="86"/>
      <c r="V73" s="86"/>
      <c r="W73" s="66">
        <f t="shared" si="11"/>
        <v>0</v>
      </c>
      <c r="X73" s="97"/>
      <c r="Y73" s="68">
        <f t="shared" si="12"/>
        <v>0</v>
      </c>
      <c r="Z73" s="68">
        <f t="shared" si="13"/>
        <v>0</v>
      </c>
      <c r="AA73" s="72"/>
      <c r="AB73" s="68">
        <f t="shared" si="7"/>
        <v>0</v>
      </c>
      <c r="AC73" s="68">
        <f t="shared" si="8"/>
        <v>0</v>
      </c>
      <c r="AD73" s="68"/>
      <c r="AE73" s="55"/>
      <c r="AF73" s="69">
        <f t="shared" si="5"/>
        <v>0</v>
      </c>
      <c r="AG73" s="86"/>
      <c r="AH73" s="108"/>
      <c r="AI73" s="108"/>
      <c r="AJ73" s="108"/>
      <c r="AK73" s="70">
        <f t="shared" si="14"/>
        <v>0</v>
      </c>
      <c r="AL73" s="71"/>
      <c r="AM73" s="48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</row>
    <row r="74" spans="1:151" ht="15" customHeight="1" thickBot="1" x14ac:dyDescent="0.35">
      <c r="A74" s="76" t="s">
        <v>54</v>
      </c>
      <c r="B74" s="77"/>
      <c r="C74" s="78"/>
      <c r="D74" s="77"/>
      <c r="E74" s="79"/>
      <c r="F74" s="80"/>
      <c r="G74" s="81">
        <f>SUM(G7:G73)</f>
        <v>0</v>
      </c>
      <c r="H74" s="81"/>
      <c r="I74" s="81">
        <f t="shared" ref="I74:AK74" si="15">SUM(I7:I73)</f>
        <v>0</v>
      </c>
      <c r="J74" s="81">
        <f t="shared" si="15"/>
        <v>0</v>
      </c>
      <c r="K74" s="81">
        <f t="shared" si="15"/>
        <v>0</v>
      </c>
      <c r="L74" s="81">
        <f t="shared" si="15"/>
        <v>0</v>
      </c>
      <c r="M74" s="81">
        <f t="shared" si="15"/>
        <v>0</v>
      </c>
      <c r="N74" s="81">
        <f t="shared" si="15"/>
        <v>0</v>
      </c>
      <c r="O74" s="81">
        <f t="shared" si="15"/>
        <v>0</v>
      </c>
      <c r="P74" s="81">
        <f t="shared" si="15"/>
        <v>0</v>
      </c>
      <c r="Q74" s="81">
        <f t="shared" si="15"/>
        <v>0</v>
      </c>
      <c r="R74" s="81">
        <f t="shared" si="15"/>
        <v>0</v>
      </c>
      <c r="S74" s="81">
        <f t="shared" si="15"/>
        <v>0</v>
      </c>
      <c r="T74" s="81">
        <f t="shared" si="15"/>
        <v>0</v>
      </c>
      <c r="U74" s="81">
        <f t="shared" si="15"/>
        <v>0</v>
      </c>
      <c r="V74" s="81">
        <f t="shared" si="15"/>
        <v>0</v>
      </c>
      <c r="W74" s="81">
        <f t="shared" si="15"/>
        <v>0</v>
      </c>
      <c r="X74" s="81">
        <f t="shared" si="15"/>
        <v>0</v>
      </c>
      <c r="Y74" s="81">
        <f t="shared" si="15"/>
        <v>0</v>
      </c>
      <c r="Z74" s="81">
        <f t="shared" si="15"/>
        <v>0</v>
      </c>
      <c r="AA74" s="81">
        <f t="shared" si="15"/>
        <v>0</v>
      </c>
      <c r="AB74" s="81">
        <f t="shared" si="15"/>
        <v>0</v>
      </c>
      <c r="AC74" s="81">
        <f t="shared" si="15"/>
        <v>0</v>
      </c>
      <c r="AD74" s="81">
        <f t="shared" si="15"/>
        <v>0</v>
      </c>
      <c r="AE74" s="81">
        <f t="shared" si="15"/>
        <v>0</v>
      </c>
      <c r="AF74" s="81">
        <f t="shared" si="15"/>
        <v>0</v>
      </c>
      <c r="AG74" s="81">
        <f t="shared" si="15"/>
        <v>0</v>
      </c>
      <c r="AH74" s="81">
        <f t="shared" si="15"/>
        <v>0</v>
      </c>
      <c r="AI74" s="81">
        <f t="shared" si="15"/>
        <v>0</v>
      </c>
      <c r="AJ74" s="81">
        <f t="shared" si="15"/>
        <v>0</v>
      </c>
      <c r="AK74" s="81">
        <f t="shared" si="15"/>
        <v>0</v>
      </c>
      <c r="AL74" s="82" t="s">
        <v>54</v>
      </c>
      <c r="AM74" s="83"/>
      <c r="AN74" s="5"/>
      <c r="AO74" s="5"/>
      <c r="AP74" s="5"/>
      <c r="AQ74" s="5"/>
      <c r="AR74" s="7"/>
      <c r="AS74" s="7"/>
      <c r="AT74" s="7"/>
      <c r="AU74" s="7"/>
      <c r="AV74" s="7"/>
      <c r="CE74" s="1"/>
    </row>
    <row r="75" spans="1:151" x14ac:dyDescent="0.3">
      <c r="AG75" s="84"/>
    </row>
    <row r="76" spans="1:151" x14ac:dyDescent="0.3">
      <c r="AG76" s="84"/>
    </row>
    <row r="77" spans="1:151" x14ac:dyDescent="0.3">
      <c r="AG77" s="84"/>
    </row>
    <row r="78" spans="1:151" x14ac:dyDescent="0.3">
      <c r="AG78" s="84"/>
    </row>
    <row r="79" spans="1:151" x14ac:dyDescent="0.3">
      <c r="AG79" s="84"/>
    </row>
    <row r="80" spans="1:151" x14ac:dyDescent="0.3">
      <c r="AG80" s="84"/>
    </row>
    <row r="81" spans="33:33" x14ac:dyDescent="0.3">
      <c r="AG81" s="84"/>
    </row>
    <row r="82" spans="33:33" x14ac:dyDescent="0.3">
      <c r="AG82" s="84"/>
    </row>
    <row r="83" spans="33:33" x14ac:dyDescent="0.3">
      <c r="AG83" s="84"/>
    </row>
    <row r="84" spans="33:33" x14ac:dyDescent="0.3">
      <c r="AG84" s="84"/>
    </row>
    <row r="85" spans="33:33" x14ac:dyDescent="0.3">
      <c r="AG85" s="84"/>
    </row>
    <row r="86" spans="33:33" x14ac:dyDescent="0.3">
      <c r="AG86" s="84"/>
    </row>
    <row r="87" spans="33:33" x14ac:dyDescent="0.3">
      <c r="AG87" s="84"/>
    </row>
    <row r="88" spans="33:33" x14ac:dyDescent="0.3">
      <c r="AG88" s="84"/>
    </row>
    <row r="89" spans="33:33" x14ac:dyDescent="0.3">
      <c r="AG89" s="84"/>
    </row>
    <row r="90" spans="33:33" x14ac:dyDescent="0.3">
      <c r="AG90" s="84"/>
    </row>
    <row r="91" spans="33:33" x14ac:dyDescent="0.3">
      <c r="AG91" s="84"/>
    </row>
    <row r="92" spans="33:33" x14ac:dyDescent="0.3">
      <c r="AG92" s="84"/>
    </row>
    <row r="93" spans="33:33" x14ac:dyDescent="0.3">
      <c r="AG93" s="84"/>
    </row>
    <row r="94" spans="33:33" x14ac:dyDescent="0.3">
      <c r="AG94" s="84"/>
    </row>
    <row r="95" spans="33:33" x14ac:dyDescent="0.3">
      <c r="AG95" s="84"/>
    </row>
    <row r="96" spans="33:33" x14ac:dyDescent="0.3">
      <c r="AG96" s="84"/>
    </row>
    <row r="97" spans="33:33" x14ac:dyDescent="0.3">
      <c r="AG97" s="84"/>
    </row>
    <row r="98" spans="33:33" x14ac:dyDescent="0.3">
      <c r="AG98" s="84"/>
    </row>
    <row r="99" spans="33:33" x14ac:dyDescent="0.3">
      <c r="AG99" s="84"/>
    </row>
    <row r="100" spans="33:33" x14ac:dyDescent="0.3">
      <c r="AG100" s="84"/>
    </row>
    <row r="101" spans="33:33" x14ac:dyDescent="0.3">
      <c r="AG101" s="84"/>
    </row>
    <row r="102" spans="33:33" x14ac:dyDescent="0.3">
      <c r="AG102" s="84"/>
    </row>
    <row r="103" spans="33:33" x14ac:dyDescent="0.3">
      <c r="AG103" s="84"/>
    </row>
    <row r="104" spans="33:33" x14ac:dyDescent="0.3">
      <c r="AG104" s="84"/>
    </row>
    <row r="105" spans="33:33" x14ac:dyDescent="0.3">
      <c r="AG105" s="84"/>
    </row>
    <row r="106" spans="33:33" x14ac:dyDescent="0.3">
      <c r="AG106" s="84"/>
    </row>
    <row r="107" spans="33:33" x14ac:dyDescent="0.3">
      <c r="AG107" s="84"/>
    </row>
    <row r="108" spans="33:33" x14ac:dyDescent="0.3">
      <c r="AG108" s="84"/>
    </row>
    <row r="109" spans="33:33" x14ac:dyDescent="0.3">
      <c r="AG109" s="84"/>
    </row>
    <row r="110" spans="33:33" x14ac:dyDescent="0.3">
      <c r="AG110" s="84"/>
    </row>
    <row r="111" spans="33:33" x14ac:dyDescent="0.3">
      <c r="AG111" s="84"/>
    </row>
    <row r="112" spans="33:33" x14ac:dyDescent="0.3">
      <c r="AG112" s="84"/>
    </row>
    <row r="113" spans="33:33" x14ac:dyDescent="0.3">
      <c r="AG113" s="84"/>
    </row>
    <row r="114" spans="33:33" x14ac:dyDescent="0.3">
      <c r="AG114" s="84"/>
    </row>
    <row r="115" spans="33:33" x14ac:dyDescent="0.3">
      <c r="AG115" s="84"/>
    </row>
    <row r="116" spans="33:33" x14ac:dyDescent="0.3">
      <c r="AG116" s="84"/>
    </row>
    <row r="117" spans="33:33" x14ac:dyDescent="0.3">
      <c r="AG117" s="84"/>
    </row>
    <row r="118" spans="33:33" x14ac:dyDescent="0.3">
      <c r="AG118" s="84"/>
    </row>
    <row r="119" spans="33:33" x14ac:dyDescent="0.3">
      <c r="AG119" s="84"/>
    </row>
    <row r="120" spans="33:33" x14ac:dyDescent="0.3">
      <c r="AG120" s="84"/>
    </row>
    <row r="121" spans="33:33" x14ac:dyDescent="0.3">
      <c r="AG121" s="84"/>
    </row>
    <row r="122" spans="33:33" x14ac:dyDescent="0.3">
      <c r="AG122" s="84"/>
    </row>
    <row r="123" spans="33:33" x14ac:dyDescent="0.3">
      <c r="AG123" s="84"/>
    </row>
    <row r="124" spans="33:33" x14ac:dyDescent="0.3">
      <c r="AG124" s="84"/>
    </row>
    <row r="125" spans="33:33" x14ac:dyDescent="0.3">
      <c r="AG125" s="84"/>
    </row>
    <row r="126" spans="33:33" x14ac:dyDescent="0.3">
      <c r="AG126" s="84"/>
    </row>
    <row r="127" spans="33:33" x14ac:dyDescent="0.3">
      <c r="AG127" s="84"/>
    </row>
    <row r="128" spans="33:33" x14ac:dyDescent="0.3">
      <c r="AG128" s="84"/>
    </row>
    <row r="129" spans="33:33" x14ac:dyDescent="0.3">
      <c r="AG129" s="84"/>
    </row>
    <row r="130" spans="33:33" x14ac:dyDescent="0.3">
      <c r="AG130" s="84"/>
    </row>
    <row r="131" spans="33:33" x14ac:dyDescent="0.3">
      <c r="AG131" s="84"/>
    </row>
    <row r="132" spans="33:33" x14ac:dyDescent="0.3">
      <c r="AG132" s="84"/>
    </row>
    <row r="133" spans="33:33" x14ac:dyDescent="0.3">
      <c r="AG133" s="84"/>
    </row>
    <row r="134" spans="33:33" x14ac:dyDescent="0.3">
      <c r="AG134" s="84"/>
    </row>
    <row r="135" spans="33:33" x14ac:dyDescent="0.3">
      <c r="AG135" s="84"/>
    </row>
    <row r="136" spans="33:33" x14ac:dyDescent="0.3">
      <c r="AG136" s="84"/>
    </row>
    <row r="137" spans="33:33" x14ac:dyDescent="0.3">
      <c r="AG137" s="84"/>
    </row>
    <row r="138" spans="33:33" x14ac:dyDescent="0.3">
      <c r="AG138" s="84"/>
    </row>
    <row r="139" spans="33:33" x14ac:dyDescent="0.3">
      <c r="AG139" s="84"/>
    </row>
    <row r="140" spans="33:33" x14ac:dyDescent="0.3">
      <c r="AG140" s="84"/>
    </row>
    <row r="141" spans="33:33" x14ac:dyDescent="0.3">
      <c r="AG141" s="84"/>
    </row>
    <row r="142" spans="33:33" x14ac:dyDescent="0.3">
      <c r="AG142" s="84"/>
    </row>
    <row r="143" spans="33:33" x14ac:dyDescent="0.3">
      <c r="AG143" s="84"/>
    </row>
    <row r="144" spans="33:33" x14ac:dyDescent="0.3">
      <c r="AG144" s="84"/>
    </row>
    <row r="145" spans="33:33" x14ac:dyDescent="0.3">
      <c r="AG145" s="84"/>
    </row>
    <row r="146" spans="33:33" x14ac:dyDescent="0.3">
      <c r="AG146" s="84"/>
    </row>
    <row r="147" spans="33:33" x14ac:dyDescent="0.3">
      <c r="AG147" s="84"/>
    </row>
    <row r="148" spans="33:33" x14ac:dyDescent="0.3">
      <c r="AG148" s="84"/>
    </row>
    <row r="149" spans="33:33" x14ac:dyDescent="0.3">
      <c r="AG149" s="84"/>
    </row>
    <row r="150" spans="33:33" x14ac:dyDescent="0.3">
      <c r="AG150" s="84"/>
    </row>
    <row r="151" spans="33:33" x14ac:dyDescent="0.3">
      <c r="AG151" s="84"/>
    </row>
    <row r="152" spans="33:33" x14ac:dyDescent="0.3">
      <c r="AG152" s="84"/>
    </row>
    <row r="153" spans="33:33" x14ac:dyDescent="0.3">
      <c r="AG153" s="84"/>
    </row>
    <row r="154" spans="33:33" x14ac:dyDescent="0.3">
      <c r="AG154" s="84"/>
    </row>
    <row r="155" spans="33:33" x14ac:dyDescent="0.3">
      <c r="AG155" s="84"/>
    </row>
    <row r="156" spans="33:33" x14ac:dyDescent="0.3">
      <c r="AG156" s="84"/>
    </row>
    <row r="157" spans="33:33" x14ac:dyDescent="0.3">
      <c r="AG157" s="84"/>
    </row>
    <row r="158" spans="33:33" x14ac:dyDescent="0.3">
      <c r="AG158" s="84"/>
    </row>
    <row r="159" spans="33:33" x14ac:dyDescent="0.3">
      <c r="AG159" s="84"/>
    </row>
    <row r="160" spans="33:33" x14ac:dyDescent="0.3">
      <c r="AG160" s="84"/>
    </row>
    <row r="161" spans="33:33" x14ac:dyDescent="0.3">
      <c r="AG161" s="84"/>
    </row>
    <row r="162" spans="33:33" x14ac:dyDescent="0.3">
      <c r="AG162" s="84"/>
    </row>
    <row r="163" spans="33:33" x14ac:dyDescent="0.3">
      <c r="AG163" s="84"/>
    </row>
    <row r="164" spans="33:33" x14ac:dyDescent="0.3">
      <c r="AG164" s="84"/>
    </row>
    <row r="165" spans="33:33" x14ac:dyDescent="0.3">
      <c r="AG165" s="84"/>
    </row>
    <row r="166" spans="33:33" x14ac:dyDescent="0.3">
      <c r="AG166" s="84"/>
    </row>
    <row r="167" spans="33:33" x14ac:dyDescent="0.3">
      <c r="AG167" s="84"/>
    </row>
    <row r="168" spans="33:33" x14ac:dyDescent="0.3">
      <c r="AG168" s="84"/>
    </row>
    <row r="169" spans="33:33" x14ac:dyDescent="0.3">
      <c r="AG169" s="84"/>
    </row>
    <row r="170" spans="33:33" x14ac:dyDescent="0.3">
      <c r="AG170" s="84"/>
    </row>
    <row r="171" spans="33:33" x14ac:dyDescent="0.3">
      <c r="AG171" s="84"/>
    </row>
    <row r="172" spans="33:33" x14ac:dyDescent="0.3">
      <c r="AG172" s="84"/>
    </row>
    <row r="173" spans="33:33" x14ac:dyDescent="0.3">
      <c r="AG173" s="84"/>
    </row>
    <row r="174" spans="33:33" x14ac:dyDescent="0.3">
      <c r="AG174" s="84"/>
    </row>
    <row r="175" spans="33:33" x14ac:dyDescent="0.3">
      <c r="AG175" s="84"/>
    </row>
    <row r="176" spans="33:33" x14ac:dyDescent="0.3">
      <c r="AG176" s="84"/>
    </row>
    <row r="177" spans="33:33" x14ac:dyDescent="0.3">
      <c r="AG177" s="84"/>
    </row>
    <row r="178" spans="33:33" x14ac:dyDescent="0.3">
      <c r="AG178" s="84"/>
    </row>
    <row r="179" spans="33:33" x14ac:dyDescent="0.3">
      <c r="AG179" s="84"/>
    </row>
    <row r="180" spans="33:33" x14ac:dyDescent="0.3">
      <c r="AG180" s="84"/>
    </row>
    <row r="181" spans="33:33" x14ac:dyDescent="0.3">
      <c r="AG181" s="84"/>
    </row>
    <row r="182" spans="33:33" x14ac:dyDescent="0.3">
      <c r="AG182" s="84"/>
    </row>
    <row r="183" spans="33:33" x14ac:dyDescent="0.3">
      <c r="AG183" s="84"/>
    </row>
    <row r="184" spans="33:33" x14ac:dyDescent="0.3">
      <c r="AG184" s="84"/>
    </row>
    <row r="185" spans="33:33" x14ac:dyDescent="0.3">
      <c r="AG185" s="84"/>
    </row>
    <row r="186" spans="33:33" x14ac:dyDescent="0.3">
      <c r="AG186" s="84"/>
    </row>
    <row r="187" spans="33:33" x14ac:dyDescent="0.3">
      <c r="AG187" s="84"/>
    </row>
    <row r="188" spans="33:33" x14ac:dyDescent="0.3">
      <c r="AG188" s="84"/>
    </row>
    <row r="189" spans="33:33" x14ac:dyDescent="0.3">
      <c r="AG189" s="84"/>
    </row>
    <row r="190" spans="33:33" x14ac:dyDescent="0.3">
      <c r="AG190" s="84"/>
    </row>
    <row r="191" spans="33:33" x14ac:dyDescent="0.3">
      <c r="AG191" s="84"/>
    </row>
    <row r="192" spans="33:33" x14ac:dyDescent="0.3">
      <c r="AG192" s="84"/>
    </row>
    <row r="193" spans="33:33" x14ac:dyDescent="0.3">
      <c r="AG193" s="84"/>
    </row>
    <row r="194" spans="33:33" x14ac:dyDescent="0.3">
      <c r="AG194" s="84"/>
    </row>
    <row r="195" spans="33:33" x14ac:dyDescent="0.3">
      <c r="AG195" s="84"/>
    </row>
    <row r="196" spans="33:33" x14ac:dyDescent="0.3">
      <c r="AG196" s="84"/>
    </row>
    <row r="197" spans="33:33" x14ac:dyDescent="0.3">
      <c r="AG197" s="84"/>
    </row>
    <row r="198" spans="33:33" x14ac:dyDescent="0.3">
      <c r="AG198" s="84"/>
    </row>
    <row r="199" spans="33:33" x14ac:dyDescent="0.3">
      <c r="AG199" s="84"/>
    </row>
    <row r="200" spans="33:33" x14ac:dyDescent="0.3">
      <c r="AG200" s="84"/>
    </row>
    <row r="201" spans="33:33" x14ac:dyDescent="0.3">
      <c r="AG201" s="84"/>
    </row>
    <row r="202" spans="33:33" x14ac:dyDescent="0.3">
      <c r="AG202" s="84"/>
    </row>
    <row r="203" spans="33:33" x14ac:dyDescent="0.3">
      <c r="AG203" s="84"/>
    </row>
    <row r="204" spans="33:33" x14ac:dyDescent="0.3">
      <c r="AG204" s="84"/>
    </row>
    <row r="205" spans="33:33" x14ac:dyDescent="0.3">
      <c r="AG205" s="84"/>
    </row>
    <row r="206" spans="33:33" x14ac:dyDescent="0.3">
      <c r="AG206" s="84"/>
    </row>
    <row r="207" spans="33:33" x14ac:dyDescent="0.3">
      <c r="AG207" s="84"/>
    </row>
    <row r="208" spans="33:33" x14ac:dyDescent="0.3">
      <c r="AG208" s="84"/>
    </row>
    <row r="209" spans="33:33" x14ac:dyDescent="0.3">
      <c r="AG209" s="84"/>
    </row>
    <row r="210" spans="33:33" x14ac:dyDescent="0.3">
      <c r="AG210" s="84"/>
    </row>
    <row r="211" spans="33:33" x14ac:dyDescent="0.3">
      <c r="AG211" s="84"/>
    </row>
    <row r="212" spans="33:33" x14ac:dyDescent="0.3">
      <c r="AG212" s="84"/>
    </row>
    <row r="213" spans="33:33" x14ac:dyDescent="0.3">
      <c r="AG213" s="84"/>
    </row>
    <row r="214" spans="33:33" x14ac:dyDescent="0.3">
      <c r="AG214" s="84"/>
    </row>
    <row r="215" spans="33:33" x14ac:dyDescent="0.3">
      <c r="AG215" s="84"/>
    </row>
    <row r="216" spans="33:33" x14ac:dyDescent="0.3">
      <c r="AG216" s="84"/>
    </row>
    <row r="217" spans="33:33" x14ac:dyDescent="0.3">
      <c r="AG217" s="84"/>
    </row>
    <row r="218" spans="33:33" x14ac:dyDescent="0.3">
      <c r="AG218" s="84"/>
    </row>
    <row r="219" spans="33:33" x14ac:dyDescent="0.3">
      <c r="AG219" s="84"/>
    </row>
    <row r="220" spans="33:33" x14ac:dyDescent="0.3">
      <c r="AG220" s="84"/>
    </row>
    <row r="221" spans="33:33" x14ac:dyDescent="0.3">
      <c r="AG221" s="84"/>
    </row>
    <row r="222" spans="33:33" x14ac:dyDescent="0.3">
      <c r="AG222" s="84"/>
    </row>
    <row r="223" spans="33:33" x14ac:dyDescent="0.3">
      <c r="AG223" s="84"/>
    </row>
    <row r="224" spans="33:33" x14ac:dyDescent="0.3">
      <c r="AG224" s="84"/>
    </row>
    <row r="225" spans="33:33" x14ac:dyDescent="0.3">
      <c r="AG225" s="84"/>
    </row>
    <row r="226" spans="33:33" x14ac:dyDescent="0.3">
      <c r="AG226" s="84"/>
    </row>
    <row r="227" spans="33:33" x14ac:dyDescent="0.3">
      <c r="AG227" s="84"/>
    </row>
    <row r="228" spans="33:33" x14ac:dyDescent="0.3">
      <c r="AG228" s="84"/>
    </row>
    <row r="229" spans="33:33" x14ac:dyDescent="0.3">
      <c r="AG229" s="84"/>
    </row>
    <row r="230" spans="33:33" x14ac:dyDescent="0.3">
      <c r="AG230" s="84"/>
    </row>
    <row r="231" spans="33:33" x14ac:dyDescent="0.3">
      <c r="AG231" s="84"/>
    </row>
    <row r="232" spans="33:33" x14ac:dyDescent="0.3">
      <c r="AG232" s="84"/>
    </row>
    <row r="233" spans="33:33" x14ac:dyDescent="0.3">
      <c r="AG233" s="84"/>
    </row>
    <row r="234" spans="33:33" x14ac:dyDescent="0.3">
      <c r="AG234" s="84"/>
    </row>
    <row r="235" spans="33:33" x14ac:dyDescent="0.3">
      <c r="AG235" s="84"/>
    </row>
    <row r="236" spans="33:33" x14ac:dyDescent="0.3">
      <c r="AG236" s="84"/>
    </row>
    <row r="237" spans="33:33" x14ac:dyDescent="0.3">
      <c r="AG237" s="84"/>
    </row>
    <row r="238" spans="33:33" x14ac:dyDescent="0.3">
      <c r="AG238" s="84"/>
    </row>
    <row r="239" spans="33:33" x14ac:dyDescent="0.3">
      <c r="AG239" s="84"/>
    </row>
    <row r="240" spans="33:33" x14ac:dyDescent="0.3">
      <c r="AG240" s="84"/>
    </row>
    <row r="241" spans="33:33" x14ac:dyDescent="0.3">
      <c r="AG241" s="84"/>
    </row>
    <row r="242" spans="33:33" x14ac:dyDescent="0.3">
      <c r="AG242" s="84"/>
    </row>
    <row r="243" spans="33:33" x14ac:dyDescent="0.3">
      <c r="AG243" s="84"/>
    </row>
    <row r="244" spans="33:33" x14ac:dyDescent="0.3">
      <c r="AG244" s="84"/>
    </row>
    <row r="245" spans="33:33" x14ac:dyDescent="0.3">
      <c r="AG245" s="84"/>
    </row>
    <row r="246" spans="33:33" x14ac:dyDescent="0.3">
      <c r="AG246" s="84"/>
    </row>
    <row r="247" spans="33:33" x14ac:dyDescent="0.3">
      <c r="AG247" s="84"/>
    </row>
    <row r="248" spans="33:33" x14ac:dyDescent="0.3">
      <c r="AG248" s="84"/>
    </row>
    <row r="249" spans="33:33" x14ac:dyDescent="0.3">
      <c r="AG249" s="84"/>
    </row>
    <row r="250" spans="33:33" x14ac:dyDescent="0.3">
      <c r="AG250" s="84"/>
    </row>
    <row r="251" spans="33:33" x14ac:dyDescent="0.3">
      <c r="AG251" s="84"/>
    </row>
    <row r="252" spans="33:33" x14ac:dyDescent="0.3">
      <c r="AG252" s="84"/>
    </row>
    <row r="253" spans="33:33" x14ac:dyDescent="0.3">
      <c r="AG253" s="84"/>
    </row>
    <row r="254" spans="33:33" x14ac:dyDescent="0.3">
      <c r="AG254" s="84"/>
    </row>
    <row r="255" spans="33:33" x14ac:dyDescent="0.3">
      <c r="AG255" s="84"/>
    </row>
    <row r="256" spans="33:33" x14ac:dyDescent="0.3">
      <c r="AG256" s="84"/>
    </row>
    <row r="257" spans="33:33" x14ac:dyDescent="0.3">
      <c r="AG257" s="84"/>
    </row>
    <row r="258" spans="33:33" x14ac:dyDescent="0.3">
      <c r="AG258" s="84"/>
    </row>
    <row r="259" spans="33:33" x14ac:dyDescent="0.3">
      <c r="AG259" s="84"/>
    </row>
    <row r="260" spans="33:33" x14ac:dyDescent="0.3">
      <c r="AG260" s="84"/>
    </row>
    <row r="261" spans="33:33" x14ac:dyDescent="0.3">
      <c r="AG261" s="84"/>
    </row>
    <row r="262" spans="33:33" x14ac:dyDescent="0.3">
      <c r="AG262" s="84"/>
    </row>
    <row r="263" spans="33:33" x14ac:dyDescent="0.3">
      <c r="AG263" s="84"/>
    </row>
    <row r="264" spans="33:33" x14ac:dyDescent="0.3">
      <c r="AG264" s="84"/>
    </row>
    <row r="265" spans="33:33" x14ac:dyDescent="0.3">
      <c r="AG265" s="84"/>
    </row>
    <row r="266" spans="33:33" x14ac:dyDescent="0.3">
      <c r="AG266" s="84"/>
    </row>
    <row r="267" spans="33:33" x14ac:dyDescent="0.3">
      <c r="AG267" s="84"/>
    </row>
    <row r="268" spans="33:33" x14ac:dyDescent="0.3">
      <c r="AG268" s="84"/>
    </row>
    <row r="269" spans="33:33" x14ac:dyDescent="0.3">
      <c r="AG269" s="84"/>
    </row>
    <row r="270" spans="33:33" x14ac:dyDescent="0.3">
      <c r="AG270" s="84"/>
    </row>
    <row r="271" spans="33:33" x14ac:dyDescent="0.3">
      <c r="AG271" s="84"/>
    </row>
    <row r="272" spans="33:33" x14ac:dyDescent="0.3">
      <c r="AG272" s="84"/>
    </row>
    <row r="273" spans="33:33" x14ac:dyDescent="0.3">
      <c r="AG273" s="84"/>
    </row>
    <row r="274" spans="33:33" x14ac:dyDescent="0.3">
      <c r="AG274" s="84"/>
    </row>
    <row r="275" spans="33:33" x14ac:dyDescent="0.3">
      <c r="AG275" s="84"/>
    </row>
    <row r="276" spans="33:33" x14ac:dyDescent="0.3">
      <c r="AG276" s="84"/>
    </row>
    <row r="277" spans="33:33" x14ac:dyDescent="0.3">
      <c r="AG277" s="84"/>
    </row>
    <row r="278" spans="33:33" x14ac:dyDescent="0.3">
      <c r="AG278" s="84"/>
    </row>
    <row r="279" spans="33:33" x14ac:dyDescent="0.3">
      <c r="AG279" s="84"/>
    </row>
    <row r="280" spans="33:33" x14ac:dyDescent="0.3">
      <c r="AG280" s="84"/>
    </row>
    <row r="281" spans="33:33" x14ac:dyDescent="0.3">
      <c r="AG281" s="84"/>
    </row>
    <row r="282" spans="33:33" x14ac:dyDescent="0.3">
      <c r="AG282" s="84"/>
    </row>
    <row r="283" spans="33:33" x14ac:dyDescent="0.3">
      <c r="AG283" s="84"/>
    </row>
    <row r="284" spans="33:33" x14ac:dyDescent="0.3">
      <c r="AG284" s="84"/>
    </row>
    <row r="285" spans="33:33" x14ac:dyDescent="0.3">
      <c r="AG285" s="84"/>
    </row>
    <row r="286" spans="33:33" x14ac:dyDescent="0.3">
      <c r="AG286" s="84"/>
    </row>
    <row r="287" spans="33:33" x14ac:dyDescent="0.3">
      <c r="AG287" s="84"/>
    </row>
    <row r="288" spans="33:33" x14ac:dyDescent="0.3">
      <c r="AG288" s="84"/>
    </row>
    <row r="289" spans="33:33" x14ac:dyDescent="0.3">
      <c r="AG289" s="84"/>
    </row>
    <row r="290" spans="33:33" x14ac:dyDescent="0.3">
      <c r="AG290" s="84"/>
    </row>
    <row r="291" spans="33:33" x14ac:dyDescent="0.3">
      <c r="AG291" s="84"/>
    </row>
    <row r="292" spans="33:33" x14ac:dyDescent="0.3">
      <c r="AG292" s="84"/>
    </row>
    <row r="293" spans="33:33" x14ac:dyDescent="0.3">
      <c r="AG293" s="84"/>
    </row>
    <row r="294" spans="33:33" x14ac:dyDescent="0.3">
      <c r="AG294" s="84"/>
    </row>
    <row r="295" spans="33:33" x14ac:dyDescent="0.3">
      <c r="AG295" s="84"/>
    </row>
    <row r="296" spans="33:33" x14ac:dyDescent="0.3">
      <c r="AG296" s="84"/>
    </row>
    <row r="297" spans="33:33" x14ac:dyDescent="0.3">
      <c r="AG297" s="84"/>
    </row>
    <row r="298" spans="33:33" x14ac:dyDescent="0.3">
      <c r="AG298" s="84"/>
    </row>
    <row r="299" spans="33:33" x14ac:dyDescent="0.3">
      <c r="AG299" s="84"/>
    </row>
    <row r="300" spans="33:33" x14ac:dyDescent="0.3">
      <c r="AG300" s="84"/>
    </row>
    <row r="301" spans="33:33" x14ac:dyDescent="0.3">
      <c r="AG301" s="84"/>
    </row>
    <row r="302" spans="33:33" x14ac:dyDescent="0.3">
      <c r="AG302" s="84"/>
    </row>
    <row r="303" spans="33:33" x14ac:dyDescent="0.3">
      <c r="AG303" s="84"/>
    </row>
    <row r="304" spans="33:33" x14ac:dyDescent="0.3">
      <c r="AG304" s="84"/>
    </row>
    <row r="305" spans="33:33" x14ac:dyDescent="0.3">
      <c r="AG305" s="84"/>
    </row>
    <row r="306" spans="33:33" x14ac:dyDescent="0.3">
      <c r="AG306" s="84"/>
    </row>
    <row r="307" spans="33:33" x14ac:dyDescent="0.3">
      <c r="AG307" s="84"/>
    </row>
    <row r="308" spans="33:33" x14ac:dyDescent="0.3">
      <c r="AG308" s="84"/>
    </row>
    <row r="309" spans="33:33" x14ac:dyDescent="0.3">
      <c r="AG309" s="84"/>
    </row>
    <row r="310" spans="33:33" x14ac:dyDescent="0.3">
      <c r="AG310" s="84"/>
    </row>
    <row r="311" spans="33:33" x14ac:dyDescent="0.3">
      <c r="AG311" s="84"/>
    </row>
    <row r="312" spans="33:33" x14ac:dyDescent="0.3">
      <c r="AG312" s="84"/>
    </row>
    <row r="313" spans="33:33" x14ac:dyDescent="0.3">
      <c r="AG313" s="84"/>
    </row>
    <row r="314" spans="33:33" x14ac:dyDescent="0.3">
      <c r="AG314" s="84"/>
    </row>
    <row r="315" spans="33:33" x14ac:dyDescent="0.3">
      <c r="AG315" s="84"/>
    </row>
    <row r="316" spans="33:33" x14ac:dyDescent="0.3">
      <c r="AG316" s="84"/>
    </row>
    <row r="317" spans="33:33" x14ac:dyDescent="0.3">
      <c r="AG317" s="84"/>
    </row>
    <row r="318" spans="33:33" x14ac:dyDescent="0.3">
      <c r="AG318" s="84"/>
    </row>
    <row r="319" spans="33:33" x14ac:dyDescent="0.3">
      <c r="AG319" s="84"/>
    </row>
    <row r="320" spans="33:33" x14ac:dyDescent="0.3">
      <c r="AG320" s="84"/>
    </row>
    <row r="321" spans="33:33" x14ac:dyDescent="0.3">
      <c r="AG321" s="84"/>
    </row>
    <row r="322" spans="33:33" x14ac:dyDescent="0.3">
      <c r="AG322" s="84"/>
    </row>
    <row r="323" spans="33:33" x14ac:dyDescent="0.3">
      <c r="AG323" s="84"/>
    </row>
    <row r="324" spans="33:33" x14ac:dyDescent="0.3">
      <c r="AG324" s="84"/>
    </row>
    <row r="325" spans="33:33" x14ac:dyDescent="0.3">
      <c r="AG325" s="84"/>
    </row>
    <row r="326" spans="33:33" x14ac:dyDescent="0.3">
      <c r="AG326" s="84"/>
    </row>
    <row r="327" spans="33:33" x14ac:dyDescent="0.3">
      <c r="AG327" s="84"/>
    </row>
    <row r="328" spans="33:33" x14ac:dyDescent="0.3">
      <c r="AG328" s="84"/>
    </row>
    <row r="329" spans="33:33" x14ac:dyDescent="0.3">
      <c r="AG329" s="84"/>
    </row>
    <row r="330" spans="33:33" x14ac:dyDescent="0.3">
      <c r="AG330" s="84"/>
    </row>
    <row r="331" spans="33:33" x14ac:dyDescent="0.3">
      <c r="AG331" s="84"/>
    </row>
    <row r="332" spans="33:33" x14ac:dyDescent="0.3">
      <c r="AG332" s="84"/>
    </row>
    <row r="333" spans="33:33" x14ac:dyDescent="0.3">
      <c r="AG333" s="84"/>
    </row>
    <row r="334" spans="33:33" x14ac:dyDescent="0.3">
      <c r="AG334" s="84"/>
    </row>
    <row r="335" spans="33:33" x14ac:dyDescent="0.3">
      <c r="AG335" s="84"/>
    </row>
    <row r="336" spans="33:33" x14ac:dyDescent="0.3">
      <c r="AG336" s="84"/>
    </row>
    <row r="337" spans="33:33" x14ac:dyDescent="0.3">
      <c r="AG337" s="84"/>
    </row>
    <row r="338" spans="33:33" x14ac:dyDescent="0.3">
      <c r="AG338" s="84"/>
    </row>
    <row r="339" spans="33:33" x14ac:dyDescent="0.3">
      <c r="AG339" s="84"/>
    </row>
    <row r="340" spans="33:33" x14ac:dyDescent="0.3">
      <c r="AG340" s="84"/>
    </row>
    <row r="341" spans="33:33" x14ac:dyDescent="0.3">
      <c r="AG341" s="84"/>
    </row>
    <row r="342" spans="33:33" x14ac:dyDescent="0.3">
      <c r="AG342" s="84"/>
    </row>
    <row r="343" spans="33:33" x14ac:dyDescent="0.3">
      <c r="AG343" s="84"/>
    </row>
    <row r="344" spans="33:33" x14ac:dyDescent="0.3">
      <c r="AG344" s="84"/>
    </row>
    <row r="345" spans="33:33" x14ac:dyDescent="0.3">
      <c r="AG345" s="84"/>
    </row>
    <row r="346" spans="33:33" x14ac:dyDescent="0.3">
      <c r="AG346" s="84"/>
    </row>
    <row r="347" spans="33:33" x14ac:dyDescent="0.3">
      <c r="AG347" s="84"/>
    </row>
    <row r="348" spans="33:33" x14ac:dyDescent="0.3">
      <c r="AG348" s="84"/>
    </row>
    <row r="349" spans="33:33" x14ac:dyDescent="0.3">
      <c r="AG349" s="84"/>
    </row>
    <row r="350" spans="33:33" x14ac:dyDescent="0.3">
      <c r="AG350" s="84"/>
    </row>
    <row r="351" spans="33:33" x14ac:dyDescent="0.3">
      <c r="AG351" s="84"/>
    </row>
    <row r="352" spans="33:33" x14ac:dyDescent="0.3">
      <c r="AG352" s="84"/>
    </row>
    <row r="353" spans="33:33" x14ac:dyDescent="0.3">
      <c r="AG353" s="84"/>
    </row>
    <row r="354" spans="33:33" x14ac:dyDescent="0.3">
      <c r="AG354" s="84"/>
    </row>
    <row r="355" spans="33:33" x14ac:dyDescent="0.3">
      <c r="AG355" s="84"/>
    </row>
    <row r="356" spans="33:33" x14ac:dyDescent="0.3">
      <c r="AG356" s="84"/>
    </row>
    <row r="357" spans="33:33" x14ac:dyDescent="0.3">
      <c r="AG357" s="84"/>
    </row>
    <row r="358" spans="33:33" x14ac:dyDescent="0.3">
      <c r="AG358" s="84"/>
    </row>
    <row r="359" spans="33:33" x14ac:dyDescent="0.3">
      <c r="AG359" s="84"/>
    </row>
    <row r="360" spans="33:33" x14ac:dyDescent="0.3">
      <c r="AG360" s="84"/>
    </row>
    <row r="361" spans="33:33" x14ac:dyDescent="0.3">
      <c r="AG361" s="84"/>
    </row>
    <row r="362" spans="33:33" x14ac:dyDescent="0.3">
      <c r="AG362" s="84"/>
    </row>
    <row r="363" spans="33:33" x14ac:dyDescent="0.3">
      <c r="AG363" s="84"/>
    </row>
    <row r="364" spans="33:33" x14ac:dyDescent="0.3">
      <c r="AG364" s="84"/>
    </row>
    <row r="365" spans="33:33" x14ac:dyDescent="0.3">
      <c r="AG365" s="84"/>
    </row>
    <row r="366" spans="33:33" x14ac:dyDescent="0.3">
      <c r="AG366" s="84"/>
    </row>
    <row r="367" spans="33:33" x14ac:dyDescent="0.3">
      <c r="AG367" s="84"/>
    </row>
    <row r="368" spans="33:33" x14ac:dyDescent="0.3">
      <c r="AG368" s="84"/>
    </row>
    <row r="369" spans="33:33" x14ac:dyDescent="0.3">
      <c r="AG369" s="84"/>
    </row>
    <row r="370" spans="33:33" x14ac:dyDescent="0.3">
      <c r="AG370" s="84"/>
    </row>
    <row r="371" spans="33:33" x14ac:dyDescent="0.3">
      <c r="AG371" s="84"/>
    </row>
    <row r="372" spans="33:33" x14ac:dyDescent="0.3">
      <c r="AG372" s="84"/>
    </row>
    <row r="373" spans="33:33" x14ac:dyDescent="0.3">
      <c r="AG373" s="84"/>
    </row>
    <row r="374" spans="33:33" x14ac:dyDescent="0.3">
      <c r="AG374" s="84"/>
    </row>
    <row r="375" spans="33:33" x14ac:dyDescent="0.3">
      <c r="AG375" s="84"/>
    </row>
    <row r="376" spans="33:33" x14ac:dyDescent="0.3">
      <c r="AG376" s="84"/>
    </row>
    <row r="377" spans="33:33" x14ac:dyDescent="0.3">
      <c r="AG377" s="84"/>
    </row>
    <row r="378" spans="33:33" x14ac:dyDescent="0.3">
      <c r="AG378" s="84"/>
    </row>
    <row r="379" spans="33:33" x14ac:dyDescent="0.3">
      <c r="AG379" s="84"/>
    </row>
    <row r="380" spans="33:33" x14ac:dyDescent="0.3">
      <c r="AG380" s="84"/>
    </row>
    <row r="381" spans="33:33" x14ac:dyDescent="0.3">
      <c r="AG381" s="84"/>
    </row>
    <row r="382" spans="33:33" x14ac:dyDescent="0.3">
      <c r="AG382" s="84"/>
    </row>
    <row r="383" spans="33:33" x14ac:dyDescent="0.3">
      <c r="AG383" s="84"/>
    </row>
    <row r="384" spans="33:33" x14ac:dyDescent="0.3">
      <c r="AG384" s="84"/>
    </row>
    <row r="385" spans="33:33" x14ac:dyDescent="0.3">
      <c r="AG385" s="84"/>
    </row>
    <row r="386" spans="33:33" x14ac:dyDescent="0.3">
      <c r="AG386" s="84"/>
    </row>
    <row r="387" spans="33:33" x14ac:dyDescent="0.3">
      <c r="AG387" s="84"/>
    </row>
    <row r="388" spans="33:33" x14ac:dyDescent="0.3">
      <c r="AG388" s="84"/>
    </row>
    <row r="389" spans="33:33" x14ac:dyDescent="0.3">
      <c r="AG389" s="84"/>
    </row>
    <row r="390" spans="33:33" x14ac:dyDescent="0.3">
      <c r="AG390" s="84"/>
    </row>
    <row r="391" spans="33:33" x14ac:dyDescent="0.3">
      <c r="AG391" s="84"/>
    </row>
    <row r="392" spans="33:33" x14ac:dyDescent="0.3">
      <c r="AG392" s="84"/>
    </row>
    <row r="393" spans="33:33" x14ac:dyDescent="0.3">
      <c r="AG393" s="84"/>
    </row>
    <row r="394" spans="33:33" x14ac:dyDescent="0.3">
      <c r="AG394" s="84"/>
    </row>
    <row r="395" spans="33:33" x14ac:dyDescent="0.3">
      <c r="AG395" s="84"/>
    </row>
    <row r="396" spans="33:33" x14ac:dyDescent="0.3">
      <c r="AG396" s="84"/>
    </row>
    <row r="397" spans="33:33" x14ac:dyDescent="0.3">
      <c r="AG397" s="84"/>
    </row>
    <row r="398" spans="33:33" x14ac:dyDescent="0.3">
      <c r="AG398" s="84"/>
    </row>
    <row r="399" spans="33:33" x14ac:dyDescent="0.3">
      <c r="AG399" s="84"/>
    </row>
    <row r="400" spans="33:33" x14ac:dyDescent="0.3">
      <c r="AG400" s="84"/>
    </row>
    <row r="401" spans="33:33" x14ac:dyDescent="0.3">
      <c r="AG401" s="84"/>
    </row>
    <row r="402" spans="33:33" x14ac:dyDescent="0.3">
      <c r="AG402" s="84"/>
    </row>
    <row r="403" spans="33:33" x14ac:dyDescent="0.3">
      <c r="AG403" s="84"/>
    </row>
    <row r="404" spans="33:33" x14ac:dyDescent="0.3">
      <c r="AG404" s="84"/>
    </row>
    <row r="405" spans="33:33" x14ac:dyDescent="0.3">
      <c r="AG405" s="84"/>
    </row>
    <row r="406" spans="33:33" x14ac:dyDescent="0.3">
      <c r="AG406" s="84"/>
    </row>
    <row r="407" spans="33:33" x14ac:dyDescent="0.3">
      <c r="AG407" s="84"/>
    </row>
    <row r="408" spans="33:33" x14ac:dyDescent="0.3">
      <c r="AG408" s="84"/>
    </row>
    <row r="409" spans="33:33" x14ac:dyDescent="0.3">
      <c r="AG409" s="84"/>
    </row>
    <row r="410" spans="33:33" x14ac:dyDescent="0.3">
      <c r="AG410" s="84"/>
    </row>
    <row r="411" spans="33:33" x14ac:dyDescent="0.3">
      <c r="AG411" s="84"/>
    </row>
    <row r="412" spans="33:33" x14ac:dyDescent="0.3">
      <c r="AG412" s="84"/>
    </row>
    <row r="413" spans="33:33" x14ac:dyDescent="0.3">
      <c r="AG413" s="84"/>
    </row>
    <row r="414" spans="33:33" x14ac:dyDescent="0.3">
      <c r="AG414" s="84"/>
    </row>
    <row r="415" spans="33:33" x14ac:dyDescent="0.3">
      <c r="AG415" s="84"/>
    </row>
    <row r="416" spans="33:33" x14ac:dyDescent="0.3">
      <c r="AG416" s="84"/>
    </row>
    <row r="417" spans="33:33" x14ac:dyDescent="0.3">
      <c r="AG417" s="84"/>
    </row>
    <row r="418" spans="33:33" x14ac:dyDescent="0.3">
      <c r="AG418" s="84"/>
    </row>
    <row r="419" spans="33:33" x14ac:dyDescent="0.3">
      <c r="AG419" s="84"/>
    </row>
    <row r="420" spans="33:33" x14ac:dyDescent="0.3">
      <c r="AG420" s="84"/>
    </row>
    <row r="421" spans="33:33" x14ac:dyDescent="0.3">
      <c r="AG421" s="84"/>
    </row>
    <row r="422" spans="33:33" x14ac:dyDescent="0.3">
      <c r="AG422" s="84"/>
    </row>
    <row r="423" spans="33:33" x14ac:dyDescent="0.3">
      <c r="AG423" s="84"/>
    </row>
    <row r="424" spans="33:33" x14ac:dyDescent="0.3">
      <c r="AG424" s="84"/>
    </row>
    <row r="425" spans="33:33" x14ac:dyDescent="0.3">
      <c r="AG425" s="84"/>
    </row>
    <row r="426" spans="33:33" x14ac:dyDescent="0.3">
      <c r="AG426" s="84"/>
    </row>
    <row r="427" spans="33:33" x14ac:dyDescent="0.3">
      <c r="AG427" s="84"/>
    </row>
    <row r="428" spans="33:33" x14ac:dyDescent="0.3">
      <c r="AG428" s="84"/>
    </row>
    <row r="429" spans="33:33" x14ac:dyDescent="0.3">
      <c r="AG429" s="84"/>
    </row>
    <row r="430" spans="33:33" x14ac:dyDescent="0.3">
      <c r="AG430" s="84"/>
    </row>
    <row r="431" spans="33:33" x14ac:dyDescent="0.3">
      <c r="AG431" s="84"/>
    </row>
    <row r="432" spans="33:33" x14ac:dyDescent="0.3">
      <c r="AG432" s="84"/>
    </row>
    <row r="433" spans="33:33" x14ac:dyDescent="0.3">
      <c r="AG433" s="84"/>
    </row>
    <row r="434" spans="33:33" x14ac:dyDescent="0.3">
      <c r="AG434" s="84"/>
    </row>
    <row r="435" spans="33:33" x14ac:dyDescent="0.3">
      <c r="AG435" s="84"/>
    </row>
    <row r="436" spans="33:33" x14ac:dyDescent="0.3">
      <c r="AG436" s="84"/>
    </row>
    <row r="437" spans="33:33" x14ac:dyDescent="0.3">
      <c r="AG437" s="84"/>
    </row>
    <row r="438" spans="33:33" x14ac:dyDescent="0.3">
      <c r="AG438" s="84"/>
    </row>
    <row r="439" spans="33:33" x14ac:dyDescent="0.3">
      <c r="AG439" s="84"/>
    </row>
    <row r="440" spans="33:33" x14ac:dyDescent="0.3">
      <c r="AG440" s="84"/>
    </row>
    <row r="441" spans="33:33" x14ac:dyDescent="0.3">
      <c r="AG441" s="84"/>
    </row>
    <row r="442" spans="33:33" x14ac:dyDescent="0.3">
      <c r="AG442" s="84"/>
    </row>
    <row r="443" spans="33:33" x14ac:dyDescent="0.3">
      <c r="AG443" s="84"/>
    </row>
    <row r="444" spans="33:33" x14ac:dyDescent="0.3">
      <c r="AG444" s="84"/>
    </row>
    <row r="445" spans="33:33" x14ac:dyDescent="0.3">
      <c r="AG445" s="84"/>
    </row>
    <row r="446" spans="33:33" x14ac:dyDescent="0.3">
      <c r="AG446" s="84"/>
    </row>
    <row r="447" spans="33:33" x14ac:dyDescent="0.3">
      <c r="AG447" s="84"/>
    </row>
    <row r="448" spans="33:33" x14ac:dyDescent="0.3">
      <c r="AG448" s="84"/>
    </row>
    <row r="449" spans="33:33" x14ac:dyDescent="0.3">
      <c r="AG449" s="84"/>
    </row>
    <row r="450" spans="33:33" x14ac:dyDescent="0.3">
      <c r="AG450" s="84"/>
    </row>
    <row r="451" spans="33:33" x14ac:dyDescent="0.3">
      <c r="AG451" s="84"/>
    </row>
    <row r="452" spans="33:33" x14ac:dyDescent="0.3">
      <c r="AG452" s="84"/>
    </row>
    <row r="453" spans="33:33" x14ac:dyDescent="0.3">
      <c r="AG453" s="84"/>
    </row>
    <row r="454" spans="33:33" x14ac:dyDescent="0.3">
      <c r="AG454" s="84"/>
    </row>
    <row r="455" spans="33:33" x14ac:dyDescent="0.3">
      <c r="AG455" s="84"/>
    </row>
    <row r="456" spans="33:33" x14ac:dyDescent="0.3">
      <c r="AG456" s="84"/>
    </row>
    <row r="457" spans="33:33" x14ac:dyDescent="0.3">
      <c r="AG457" s="84"/>
    </row>
    <row r="458" spans="33:33" x14ac:dyDescent="0.3">
      <c r="AG458" s="84"/>
    </row>
    <row r="459" spans="33:33" x14ac:dyDescent="0.3">
      <c r="AG459" s="84"/>
    </row>
    <row r="460" spans="33:33" x14ac:dyDescent="0.3">
      <c r="AG460" s="84"/>
    </row>
    <row r="461" spans="33:33" x14ac:dyDescent="0.3">
      <c r="AG461" s="84"/>
    </row>
    <row r="462" spans="33:33" x14ac:dyDescent="0.3">
      <c r="AG462" s="84"/>
    </row>
    <row r="463" spans="33:33" x14ac:dyDescent="0.3">
      <c r="AG463" s="84"/>
    </row>
    <row r="464" spans="33:33" x14ac:dyDescent="0.3">
      <c r="AG464" s="84"/>
    </row>
    <row r="465" spans="33:33" x14ac:dyDescent="0.3">
      <c r="AG465" s="84"/>
    </row>
    <row r="466" spans="33:33" x14ac:dyDescent="0.3">
      <c r="AG466" s="84"/>
    </row>
    <row r="467" spans="33:33" x14ac:dyDescent="0.3">
      <c r="AG467" s="84"/>
    </row>
    <row r="468" spans="33:33" x14ac:dyDescent="0.3">
      <c r="AG468" s="84"/>
    </row>
    <row r="469" spans="33:33" x14ac:dyDescent="0.3">
      <c r="AG469" s="84"/>
    </row>
    <row r="470" spans="33:33" x14ac:dyDescent="0.3">
      <c r="AG470" s="84"/>
    </row>
    <row r="471" spans="33:33" x14ac:dyDescent="0.3">
      <c r="AG471" s="84"/>
    </row>
    <row r="472" spans="33:33" x14ac:dyDescent="0.3">
      <c r="AG472" s="84"/>
    </row>
    <row r="473" spans="33:33" x14ac:dyDescent="0.3">
      <c r="AG473" s="84"/>
    </row>
    <row r="474" spans="33:33" x14ac:dyDescent="0.3">
      <c r="AG474" s="84"/>
    </row>
    <row r="475" spans="33:33" x14ac:dyDescent="0.3">
      <c r="AG475" s="84"/>
    </row>
    <row r="476" spans="33:33" x14ac:dyDescent="0.3">
      <c r="AG476" s="84"/>
    </row>
    <row r="477" spans="33:33" x14ac:dyDescent="0.3">
      <c r="AG477" s="84"/>
    </row>
    <row r="478" spans="33:33" x14ac:dyDescent="0.3">
      <c r="AG478" s="84"/>
    </row>
    <row r="479" spans="33:33" x14ac:dyDescent="0.3">
      <c r="AG479" s="84"/>
    </row>
    <row r="480" spans="33:33" x14ac:dyDescent="0.3">
      <c r="AG480" s="84"/>
    </row>
    <row r="481" spans="33:33" x14ac:dyDescent="0.3">
      <c r="AG481" s="84"/>
    </row>
    <row r="482" spans="33:33" x14ac:dyDescent="0.3">
      <c r="AG482" s="84"/>
    </row>
    <row r="483" spans="33:33" x14ac:dyDescent="0.3">
      <c r="AG483" s="84"/>
    </row>
    <row r="484" spans="33:33" x14ac:dyDescent="0.3">
      <c r="AG484" s="84"/>
    </row>
    <row r="485" spans="33:33" x14ac:dyDescent="0.3">
      <c r="AG485" s="84"/>
    </row>
    <row r="486" spans="33:33" x14ac:dyDescent="0.3">
      <c r="AG486" s="84"/>
    </row>
    <row r="487" spans="33:33" x14ac:dyDescent="0.3">
      <c r="AG487" s="84"/>
    </row>
    <row r="488" spans="33:33" x14ac:dyDescent="0.3">
      <c r="AG488" s="84"/>
    </row>
    <row r="489" spans="33:33" x14ac:dyDescent="0.3">
      <c r="AG489" s="84"/>
    </row>
    <row r="490" spans="33:33" x14ac:dyDescent="0.3">
      <c r="AG490" s="84"/>
    </row>
    <row r="491" spans="33:33" x14ac:dyDescent="0.3">
      <c r="AG491" s="84"/>
    </row>
    <row r="492" spans="33:33" x14ac:dyDescent="0.3">
      <c r="AG492" s="84"/>
    </row>
    <row r="493" spans="33:33" x14ac:dyDescent="0.3">
      <c r="AG493" s="84"/>
    </row>
    <row r="494" spans="33:33" x14ac:dyDescent="0.3">
      <c r="AG494" s="84"/>
    </row>
    <row r="495" spans="33:33" x14ac:dyDescent="0.3">
      <c r="AG495" s="84"/>
    </row>
    <row r="496" spans="33:33" x14ac:dyDescent="0.3">
      <c r="AG496" s="84"/>
    </row>
    <row r="497" spans="33:33" x14ac:dyDescent="0.3">
      <c r="AG497" s="84"/>
    </row>
    <row r="498" spans="33:33" x14ac:dyDescent="0.3">
      <c r="AG498" s="84"/>
    </row>
    <row r="499" spans="33:33" x14ac:dyDescent="0.3">
      <c r="AG499" s="84"/>
    </row>
    <row r="500" spans="33:33" x14ac:dyDescent="0.3">
      <c r="AG500" s="84"/>
    </row>
    <row r="501" spans="33:33" x14ac:dyDescent="0.3">
      <c r="AG501" s="84"/>
    </row>
    <row r="502" spans="33:33" x14ac:dyDescent="0.3">
      <c r="AG502" s="84"/>
    </row>
    <row r="503" spans="33:33" x14ac:dyDescent="0.3">
      <c r="AG503" s="84"/>
    </row>
    <row r="504" spans="33:33" x14ac:dyDescent="0.3">
      <c r="AG504" s="84"/>
    </row>
    <row r="505" spans="33:33" x14ac:dyDescent="0.3">
      <c r="AG505" s="84"/>
    </row>
    <row r="506" spans="33:33" x14ac:dyDescent="0.3">
      <c r="AG506" s="84"/>
    </row>
    <row r="507" spans="33:33" x14ac:dyDescent="0.3">
      <c r="AG507" s="84"/>
    </row>
    <row r="508" spans="33:33" x14ac:dyDescent="0.3">
      <c r="AG508" s="84"/>
    </row>
    <row r="509" spans="33:33" x14ac:dyDescent="0.3">
      <c r="AG509" s="84"/>
    </row>
    <row r="510" spans="33:33" x14ac:dyDescent="0.3">
      <c r="AG510" s="84"/>
    </row>
    <row r="511" spans="33:33" x14ac:dyDescent="0.3">
      <c r="AG511" s="84"/>
    </row>
    <row r="512" spans="33:33" x14ac:dyDescent="0.3">
      <c r="AG512" s="84"/>
    </row>
    <row r="513" spans="33:33" x14ac:dyDescent="0.3">
      <c r="AG513" s="84"/>
    </row>
    <row r="514" spans="33:33" x14ac:dyDescent="0.3">
      <c r="AG514" s="84"/>
    </row>
    <row r="515" spans="33:33" x14ac:dyDescent="0.3">
      <c r="AG515" s="84"/>
    </row>
    <row r="516" spans="33:33" x14ac:dyDescent="0.3">
      <c r="AG516" s="84"/>
    </row>
    <row r="517" spans="33:33" x14ac:dyDescent="0.3">
      <c r="AG517" s="84"/>
    </row>
    <row r="518" spans="33:33" x14ac:dyDescent="0.3">
      <c r="AG518" s="84"/>
    </row>
    <row r="519" spans="33:33" x14ac:dyDescent="0.3">
      <c r="AG519" s="84"/>
    </row>
    <row r="520" spans="33:33" x14ac:dyDescent="0.3">
      <c r="AG520" s="84"/>
    </row>
    <row r="521" spans="33:33" x14ac:dyDescent="0.3">
      <c r="AG521" s="84"/>
    </row>
    <row r="522" spans="33:33" x14ac:dyDescent="0.3">
      <c r="AG522" s="84"/>
    </row>
    <row r="523" spans="33:33" x14ac:dyDescent="0.3">
      <c r="AG523" s="84"/>
    </row>
    <row r="524" spans="33:33" x14ac:dyDescent="0.3">
      <c r="AG524" s="84"/>
    </row>
    <row r="525" spans="33:33" x14ac:dyDescent="0.3">
      <c r="AG525" s="84"/>
    </row>
    <row r="526" spans="33:33" x14ac:dyDescent="0.3">
      <c r="AG526" s="84"/>
    </row>
    <row r="527" spans="33:33" x14ac:dyDescent="0.3">
      <c r="AG527" s="84"/>
    </row>
    <row r="528" spans="33:33" x14ac:dyDescent="0.3">
      <c r="AG528" s="84"/>
    </row>
    <row r="529" spans="33:33" x14ac:dyDescent="0.3">
      <c r="AG529" s="84"/>
    </row>
    <row r="530" spans="33:33" x14ac:dyDescent="0.3">
      <c r="AG530" s="84"/>
    </row>
    <row r="531" spans="33:33" x14ac:dyDescent="0.3">
      <c r="AG531" s="84"/>
    </row>
    <row r="532" spans="33:33" x14ac:dyDescent="0.3">
      <c r="AG532" s="84"/>
    </row>
    <row r="533" spans="33:33" x14ac:dyDescent="0.3">
      <c r="AG533" s="84"/>
    </row>
    <row r="534" spans="33:33" x14ac:dyDescent="0.3">
      <c r="AG534" s="84"/>
    </row>
    <row r="535" spans="33:33" x14ac:dyDescent="0.3">
      <c r="AG535" s="84"/>
    </row>
    <row r="536" spans="33:33" x14ac:dyDescent="0.3">
      <c r="AG536" s="84"/>
    </row>
    <row r="537" spans="33:33" x14ac:dyDescent="0.3">
      <c r="AG537" s="84"/>
    </row>
    <row r="538" spans="33:33" x14ac:dyDescent="0.3">
      <c r="AG538" s="84"/>
    </row>
    <row r="539" spans="33:33" x14ac:dyDescent="0.3">
      <c r="AG539" s="84"/>
    </row>
    <row r="540" spans="33:33" x14ac:dyDescent="0.3">
      <c r="AG540" s="84"/>
    </row>
    <row r="541" spans="33:33" x14ac:dyDescent="0.3">
      <c r="AG541" s="84"/>
    </row>
    <row r="542" spans="33:33" x14ac:dyDescent="0.3">
      <c r="AG542" s="84"/>
    </row>
    <row r="543" spans="33:33" x14ac:dyDescent="0.3">
      <c r="AG543" s="84"/>
    </row>
    <row r="544" spans="33:33" x14ac:dyDescent="0.3">
      <c r="AG544" s="84"/>
    </row>
    <row r="545" spans="33:33" x14ac:dyDescent="0.3">
      <c r="AG545" s="84"/>
    </row>
    <row r="546" spans="33:33" x14ac:dyDescent="0.3">
      <c r="AG546" s="84"/>
    </row>
    <row r="547" spans="33:33" x14ac:dyDescent="0.3">
      <c r="AG547" s="84"/>
    </row>
    <row r="548" spans="33:33" x14ac:dyDescent="0.3">
      <c r="AG548" s="84"/>
    </row>
    <row r="549" spans="33:33" x14ac:dyDescent="0.3">
      <c r="AG549" s="84"/>
    </row>
    <row r="550" spans="33:33" x14ac:dyDescent="0.3">
      <c r="AG550" s="84"/>
    </row>
    <row r="551" spans="33:33" x14ac:dyDescent="0.3">
      <c r="AG551" s="84"/>
    </row>
    <row r="552" spans="33:33" x14ac:dyDescent="0.3">
      <c r="AG552" s="84"/>
    </row>
    <row r="553" spans="33:33" x14ac:dyDescent="0.3">
      <c r="AG553" s="84"/>
    </row>
    <row r="554" spans="33:33" x14ac:dyDescent="0.3">
      <c r="AG554" s="84"/>
    </row>
    <row r="555" spans="33:33" x14ac:dyDescent="0.3">
      <c r="AG555" s="84"/>
    </row>
    <row r="556" spans="33:33" x14ac:dyDescent="0.3">
      <c r="AG556" s="84"/>
    </row>
    <row r="557" spans="33:33" x14ac:dyDescent="0.3">
      <c r="AG557" s="84"/>
    </row>
    <row r="558" spans="33:33" x14ac:dyDescent="0.3">
      <c r="AG558" s="84"/>
    </row>
    <row r="559" spans="33:33" x14ac:dyDescent="0.3">
      <c r="AG559" s="84"/>
    </row>
    <row r="560" spans="33:33" x14ac:dyDescent="0.3">
      <c r="AG560" s="84"/>
    </row>
    <row r="561" spans="33:33" x14ac:dyDescent="0.3">
      <c r="AG561" s="84"/>
    </row>
    <row r="562" spans="33:33" x14ac:dyDescent="0.3">
      <c r="AG562" s="84"/>
    </row>
    <row r="563" spans="33:33" x14ac:dyDescent="0.3">
      <c r="AG563" s="84"/>
    </row>
    <row r="564" spans="33:33" x14ac:dyDescent="0.3">
      <c r="AG564" s="84"/>
    </row>
    <row r="565" spans="33:33" x14ac:dyDescent="0.3">
      <c r="AG565" s="84"/>
    </row>
    <row r="566" spans="33:33" x14ac:dyDescent="0.3">
      <c r="AG566" s="84"/>
    </row>
    <row r="567" spans="33:33" x14ac:dyDescent="0.3">
      <c r="AG567" s="84"/>
    </row>
    <row r="568" spans="33:33" x14ac:dyDescent="0.3">
      <c r="AG568" s="84"/>
    </row>
    <row r="569" spans="33:33" x14ac:dyDescent="0.3">
      <c r="AG569" s="84"/>
    </row>
    <row r="570" spans="33:33" x14ac:dyDescent="0.3">
      <c r="AG570" s="84"/>
    </row>
    <row r="571" spans="33:33" x14ac:dyDescent="0.3">
      <c r="AG571" s="84"/>
    </row>
    <row r="572" spans="33:33" x14ac:dyDescent="0.3">
      <c r="AG572" s="84"/>
    </row>
    <row r="573" spans="33:33" x14ac:dyDescent="0.3">
      <c r="AG573" s="84"/>
    </row>
    <row r="574" spans="33:33" x14ac:dyDescent="0.3">
      <c r="AG574" s="84"/>
    </row>
    <row r="575" spans="33:33" x14ac:dyDescent="0.3">
      <c r="AG575" s="84"/>
    </row>
    <row r="576" spans="33:33" x14ac:dyDescent="0.3">
      <c r="AG576" s="84"/>
    </row>
    <row r="577" spans="33:33" x14ac:dyDescent="0.3">
      <c r="AG577" s="84"/>
    </row>
    <row r="578" spans="33:33" x14ac:dyDescent="0.3">
      <c r="AG578" s="84"/>
    </row>
    <row r="579" spans="33:33" x14ac:dyDescent="0.3">
      <c r="AG579" s="84"/>
    </row>
    <row r="580" spans="33:33" x14ac:dyDescent="0.3">
      <c r="AG580" s="84"/>
    </row>
    <row r="581" spans="33:33" x14ac:dyDescent="0.3">
      <c r="AG581" s="84"/>
    </row>
    <row r="582" spans="33:33" x14ac:dyDescent="0.3">
      <c r="AG582" s="84"/>
    </row>
    <row r="583" spans="33:33" x14ac:dyDescent="0.3">
      <c r="AG583" s="84"/>
    </row>
    <row r="584" spans="33:33" x14ac:dyDescent="0.3">
      <c r="AG584" s="84"/>
    </row>
    <row r="585" spans="33:33" x14ac:dyDescent="0.3">
      <c r="AG585" s="84"/>
    </row>
    <row r="586" spans="33:33" x14ac:dyDescent="0.3">
      <c r="AG586" s="84"/>
    </row>
    <row r="587" spans="33:33" x14ac:dyDescent="0.3">
      <c r="AG587" s="84"/>
    </row>
    <row r="588" spans="33:33" x14ac:dyDescent="0.3">
      <c r="AG588" s="84"/>
    </row>
    <row r="589" spans="33:33" x14ac:dyDescent="0.3">
      <c r="AG589" s="84"/>
    </row>
    <row r="590" spans="33:33" x14ac:dyDescent="0.3">
      <c r="AG590" s="84"/>
    </row>
    <row r="591" spans="33:33" x14ac:dyDescent="0.3">
      <c r="AG591" s="84"/>
    </row>
    <row r="592" spans="33:33" x14ac:dyDescent="0.3">
      <c r="AG592" s="84"/>
    </row>
    <row r="593" spans="33:33" x14ac:dyDescent="0.3">
      <c r="AG593" s="84"/>
    </row>
    <row r="594" spans="33:33" x14ac:dyDescent="0.3">
      <c r="AG594" s="84"/>
    </row>
    <row r="595" spans="33:33" x14ac:dyDescent="0.3">
      <c r="AG595" s="84"/>
    </row>
    <row r="596" spans="33:33" x14ac:dyDescent="0.3">
      <c r="AG596" s="84"/>
    </row>
    <row r="597" spans="33:33" x14ac:dyDescent="0.3">
      <c r="AG597" s="84"/>
    </row>
    <row r="598" spans="33:33" x14ac:dyDescent="0.3">
      <c r="AG598" s="84"/>
    </row>
    <row r="599" spans="33:33" x14ac:dyDescent="0.3">
      <c r="AG599" s="84"/>
    </row>
    <row r="600" spans="33:33" x14ac:dyDescent="0.3">
      <c r="AG600" s="84"/>
    </row>
    <row r="601" spans="33:33" x14ac:dyDescent="0.3">
      <c r="AG601" s="84"/>
    </row>
    <row r="602" spans="33:33" x14ac:dyDescent="0.3">
      <c r="AG602" s="84"/>
    </row>
    <row r="603" spans="33:33" x14ac:dyDescent="0.3">
      <c r="AG603" s="84"/>
    </row>
    <row r="604" spans="33:33" x14ac:dyDescent="0.3">
      <c r="AG604" s="84"/>
    </row>
    <row r="605" spans="33:33" x14ac:dyDescent="0.3">
      <c r="AG605" s="84"/>
    </row>
    <row r="606" spans="33:33" x14ac:dyDescent="0.3">
      <c r="AG606" s="84"/>
    </row>
    <row r="607" spans="33:33" x14ac:dyDescent="0.3">
      <c r="AG607" s="84"/>
    </row>
    <row r="608" spans="33:33" x14ac:dyDescent="0.3">
      <c r="AG608" s="84"/>
    </row>
    <row r="609" spans="33:33" x14ac:dyDescent="0.3">
      <c r="AG609" s="84"/>
    </row>
    <row r="610" spans="33:33" x14ac:dyDescent="0.3">
      <c r="AG610" s="84"/>
    </row>
    <row r="611" spans="33:33" x14ac:dyDescent="0.3">
      <c r="AG611" s="84"/>
    </row>
    <row r="612" spans="33:33" x14ac:dyDescent="0.3">
      <c r="AG612" s="84"/>
    </row>
    <row r="613" spans="33:33" x14ac:dyDescent="0.3">
      <c r="AG613" s="84"/>
    </row>
    <row r="614" spans="33:33" x14ac:dyDescent="0.3">
      <c r="AG614" s="84"/>
    </row>
    <row r="615" spans="33:33" x14ac:dyDescent="0.3">
      <c r="AG615" s="84"/>
    </row>
    <row r="616" spans="33:33" x14ac:dyDescent="0.3">
      <c r="AG616" s="84"/>
    </row>
    <row r="617" spans="33:33" x14ac:dyDescent="0.3">
      <c r="AG617" s="84"/>
    </row>
    <row r="618" spans="33:33" x14ac:dyDescent="0.3">
      <c r="AG618" s="84"/>
    </row>
    <row r="619" spans="33:33" x14ac:dyDescent="0.3">
      <c r="AG619" s="84"/>
    </row>
    <row r="620" spans="33:33" x14ac:dyDescent="0.3">
      <c r="AG620" s="84"/>
    </row>
    <row r="621" spans="33:33" x14ac:dyDescent="0.3">
      <c r="AG621" s="84"/>
    </row>
    <row r="622" spans="33:33" x14ac:dyDescent="0.3">
      <c r="AG622" s="84"/>
    </row>
    <row r="623" spans="33:33" x14ac:dyDescent="0.3">
      <c r="AG623" s="84"/>
    </row>
    <row r="624" spans="33:33" x14ac:dyDescent="0.3">
      <c r="AG624" s="84"/>
    </row>
    <row r="625" spans="33:33" x14ac:dyDescent="0.3">
      <c r="AG625" s="84"/>
    </row>
    <row r="626" spans="33:33" x14ac:dyDescent="0.3">
      <c r="AG626" s="84"/>
    </row>
    <row r="627" spans="33:33" x14ac:dyDescent="0.3">
      <c r="AG627" s="84"/>
    </row>
    <row r="628" spans="33:33" x14ac:dyDescent="0.3">
      <c r="AG628" s="84"/>
    </row>
    <row r="629" spans="33:33" x14ac:dyDescent="0.3">
      <c r="AG629" s="84"/>
    </row>
    <row r="630" spans="33:33" x14ac:dyDescent="0.3">
      <c r="AG630" s="84"/>
    </row>
    <row r="631" spans="33:33" x14ac:dyDescent="0.3">
      <c r="AG631" s="84"/>
    </row>
    <row r="632" spans="33:33" x14ac:dyDescent="0.3">
      <c r="AG632" s="84"/>
    </row>
    <row r="633" spans="33:33" x14ac:dyDescent="0.3">
      <c r="AG633" s="84"/>
    </row>
    <row r="634" spans="33:33" x14ac:dyDescent="0.3">
      <c r="AG634" s="84"/>
    </row>
    <row r="635" spans="33:33" x14ac:dyDescent="0.3">
      <c r="AG635" s="84"/>
    </row>
    <row r="636" spans="33:33" x14ac:dyDescent="0.3">
      <c r="AG636" s="84"/>
    </row>
    <row r="637" spans="33:33" x14ac:dyDescent="0.3">
      <c r="AG637" s="84"/>
    </row>
    <row r="638" spans="33:33" x14ac:dyDescent="0.3">
      <c r="AG638" s="84"/>
    </row>
    <row r="639" spans="33:33" x14ac:dyDescent="0.3">
      <c r="AG639" s="84"/>
    </row>
    <row r="640" spans="33:33" x14ac:dyDescent="0.3">
      <c r="AG640" s="84"/>
    </row>
    <row r="641" spans="33:33" x14ac:dyDescent="0.3">
      <c r="AG641" s="84"/>
    </row>
    <row r="642" spans="33:33" x14ac:dyDescent="0.3">
      <c r="AG642" s="84"/>
    </row>
    <row r="643" spans="33:33" x14ac:dyDescent="0.3">
      <c r="AG643" s="84"/>
    </row>
    <row r="644" spans="33:33" x14ac:dyDescent="0.3">
      <c r="AG644" s="84"/>
    </row>
    <row r="645" spans="33:33" x14ac:dyDescent="0.3">
      <c r="AG645" s="84"/>
    </row>
    <row r="646" spans="33:33" x14ac:dyDescent="0.3">
      <c r="AG646" s="84"/>
    </row>
    <row r="647" spans="33:33" x14ac:dyDescent="0.3">
      <c r="AG647" s="84"/>
    </row>
    <row r="648" spans="33:33" x14ac:dyDescent="0.3">
      <c r="AG648" s="84"/>
    </row>
    <row r="649" spans="33:33" x14ac:dyDescent="0.3">
      <c r="AG649" s="84"/>
    </row>
    <row r="650" spans="33:33" x14ac:dyDescent="0.3">
      <c r="AG650" s="84"/>
    </row>
    <row r="651" spans="33:33" x14ac:dyDescent="0.3">
      <c r="AG651" s="84"/>
    </row>
    <row r="652" spans="33:33" x14ac:dyDescent="0.3">
      <c r="AG652" s="84"/>
    </row>
    <row r="653" spans="33:33" x14ac:dyDescent="0.3">
      <c r="AG653" s="84"/>
    </row>
    <row r="654" spans="33:33" x14ac:dyDescent="0.3">
      <c r="AG654" s="84"/>
    </row>
    <row r="655" spans="33:33" x14ac:dyDescent="0.3">
      <c r="AG655" s="84"/>
    </row>
    <row r="656" spans="33:33" x14ac:dyDescent="0.3">
      <c r="AG656" s="84"/>
    </row>
    <row r="657" spans="33:33" x14ac:dyDescent="0.3">
      <c r="AG657" s="84"/>
    </row>
    <row r="658" spans="33:33" x14ac:dyDescent="0.3">
      <c r="AG658" s="84"/>
    </row>
    <row r="659" spans="33:33" x14ac:dyDescent="0.3">
      <c r="AG659" s="84"/>
    </row>
    <row r="660" spans="33:33" x14ac:dyDescent="0.3">
      <c r="AG660" s="84"/>
    </row>
    <row r="661" spans="33:33" x14ac:dyDescent="0.3">
      <c r="AG661" s="84"/>
    </row>
    <row r="662" spans="33:33" x14ac:dyDescent="0.3">
      <c r="AG662" s="84"/>
    </row>
    <row r="663" spans="33:33" x14ac:dyDescent="0.3">
      <c r="AG663" s="84"/>
    </row>
    <row r="664" spans="33:33" x14ac:dyDescent="0.3">
      <c r="AG664" s="84"/>
    </row>
    <row r="665" spans="33:33" x14ac:dyDescent="0.3">
      <c r="AG665" s="84"/>
    </row>
    <row r="666" spans="33:33" x14ac:dyDescent="0.3">
      <c r="AG666" s="84"/>
    </row>
    <row r="667" spans="33:33" x14ac:dyDescent="0.3">
      <c r="AG667" s="84"/>
    </row>
    <row r="668" spans="33:33" x14ac:dyDescent="0.3">
      <c r="AG668" s="84"/>
    </row>
    <row r="669" spans="33:33" x14ac:dyDescent="0.3">
      <c r="AG669" s="84"/>
    </row>
    <row r="670" spans="33:33" x14ac:dyDescent="0.3">
      <c r="AG670" s="84"/>
    </row>
    <row r="671" spans="33:33" x14ac:dyDescent="0.3">
      <c r="AG671" s="84"/>
    </row>
    <row r="672" spans="33:33" x14ac:dyDescent="0.3">
      <c r="AG672" s="84"/>
    </row>
    <row r="673" spans="33:33" x14ac:dyDescent="0.3">
      <c r="AG673" s="84"/>
    </row>
    <row r="674" spans="33:33" x14ac:dyDescent="0.3">
      <c r="AG674" s="84"/>
    </row>
    <row r="675" spans="33:33" x14ac:dyDescent="0.3">
      <c r="AG675" s="84"/>
    </row>
    <row r="676" spans="33:33" x14ac:dyDescent="0.3">
      <c r="AG676" s="84"/>
    </row>
    <row r="677" spans="33:33" x14ac:dyDescent="0.3">
      <c r="AG677" s="84"/>
    </row>
    <row r="678" spans="33:33" x14ac:dyDescent="0.3">
      <c r="AG678" s="84"/>
    </row>
    <row r="679" spans="33:33" x14ac:dyDescent="0.3">
      <c r="AG679" s="84"/>
    </row>
    <row r="680" spans="33:33" x14ac:dyDescent="0.3">
      <c r="AG680" s="84"/>
    </row>
    <row r="681" spans="33:33" x14ac:dyDescent="0.3">
      <c r="AG681" s="84"/>
    </row>
    <row r="682" spans="33:33" x14ac:dyDescent="0.3">
      <c r="AG682" s="84"/>
    </row>
    <row r="683" spans="33:33" x14ac:dyDescent="0.3">
      <c r="AG683" s="84"/>
    </row>
    <row r="684" spans="33:33" x14ac:dyDescent="0.3">
      <c r="AG684" s="84"/>
    </row>
    <row r="685" spans="33:33" x14ac:dyDescent="0.3">
      <c r="AG685" s="84"/>
    </row>
    <row r="686" spans="33:33" x14ac:dyDescent="0.3">
      <c r="AG686" s="84"/>
    </row>
    <row r="687" spans="33:33" x14ac:dyDescent="0.3">
      <c r="AG687" s="84"/>
    </row>
    <row r="688" spans="33:33" x14ac:dyDescent="0.3">
      <c r="AG688" s="84"/>
    </row>
    <row r="689" spans="33:33" x14ac:dyDescent="0.3">
      <c r="AG689" s="84"/>
    </row>
    <row r="690" spans="33:33" x14ac:dyDescent="0.3">
      <c r="AG690" s="84"/>
    </row>
    <row r="691" spans="33:33" x14ac:dyDescent="0.3">
      <c r="AG691" s="84"/>
    </row>
    <row r="692" spans="33:33" x14ac:dyDescent="0.3">
      <c r="AG692" s="84"/>
    </row>
    <row r="693" spans="33:33" x14ac:dyDescent="0.3">
      <c r="AG693" s="84"/>
    </row>
    <row r="694" spans="33:33" x14ac:dyDescent="0.3">
      <c r="AG694" s="84"/>
    </row>
    <row r="695" spans="33:33" x14ac:dyDescent="0.3">
      <c r="AG695" s="84"/>
    </row>
    <row r="696" spans="33:33" x14ac:dyDescent="0.3">
      <c r="AG696" s="84"/>
    </row>
    <row r="697" spans="33:33" x14ac:dyDescent="0.3">
      <c r="AG697" s="84"/>
    </row>
    <row r="698" spans="33:33" x14ac:dyDescent="0.3">
      <c r="AG698" s="84"/>
    </row>
    <row r="699" spans="33:33" x14ac:dyDescent="0.3">
      <c r="AG699" s="84"/>
    </row>
    <row r="700" spans="33:33" x14ac:dyDescent="0.3">
      <c r="AG700" s="84"/>
    </row>
    <row r="701" spans="33:33" x14ac:dyDescent="0.3">
      <c r="AG701" s="84"/>
    </row>
    <row r="702" spans="33:33" x14ac:dyDescent="0.3">
      <c r="AG702" s="84"/>
    </row>
    <row r="703" spans="33:33" x14ac:dyDescent="0.3">
      <c r="AG703" s="84"/>
    </row>
    <row r="704" spans="33:33" x14ac:dyDescent="0.3">
      <c r="AG704" s="84"/>
    </row>
    <row r="705" spans="33:33" x14ac:dyDescent="0.3">
      <c r="AG705" s="84"/>
    </row>
    <row r="706" spans="33:33" x14ac:dyDescent="0.3">
      <c r="AG706" s="84"/>
    </row>
    <row r="707" spans="33:33" x14ac:dyDescent="0.3">
      <c r="AG707" s="84"/>
    </row>
    <row r="708" spans="33:33" x14ac:dyDescent="0.3">
      <c r="AG708" s="84"/>
    </row>
    <row r="709" spans="33:33" x14ac:dyDescent="0.3">
      <c r="AG709" s="84"/>
    </row>
    <row r="710" spans="33:33" x14ac:dyDescent="0.3">
      <c r="AG710" s="84"/>
    </row>
    <row r="711" spans="33:33" x14ac:dyDescent="0.3">
      <c r="AG711" s="84"/>
    </row>
    <row r="712" spans="33:33" x14ac:dyDescent="0.3">
      <c r="AG712" s="84"/>
    </row>
    <row r="713" spans="33:33" x14ac:dyDescent="0.3">
      <c r="AG713" s="84"/>
    </row>
    <row r="714" spans="33:33" x14ac:dyDescent="0.3">
      <c r="AG714" s="84"/>
    </row>
    <row r="715" spans="33:33" x14ac:dyDescent="0.3">
      <c r="AG715" s="84"/>
    </row>
    <row r="716" spans="33:33" x14ac:dyDescent="0.3">
      <c r="AG716" s="84"/>
    </row>
    <row r="717" spans="33:33" x14ac:dyDescent="0.3">
      <c r="AG717" s="84"/>
    </row>
    <row r="718" spans="33:33" x14ac:dyDescent="0.3">
      <c r="AG718" s="84"/>
    </row>
    <row r="719" spans="33:33" x14ac:dyDescent="0.3">
      <c r="AG719" s="84"/>
    </row>
    <row r="720" spans="33:33" x14ac:dyDescent="0.3">
      <c r="AG720" s="84"/>
    </row>
    <row r="721" spans="33:33" x14ac:dyDescent="0.3">
      <c r="AG721" s="84"/>
    </row>
    <row r="722" spans="33:33" x14ac:dyDescent="0.3">
      <c r="AG722" s="84"/>
    </row>
    <row r="723" spans="33:33" x14ac:dyDescent="0.3">
      <c r="AG723" s="84"/>
    </row>
    <row r="724" spans="33:33" x14ac:dyDescent="0.3">
      <c r="AG724" s="84"/>
    </row>
    <row r="725" spans="33:33" x14ac:dyDescent="0.3">
      <c r="AG725" s="84"/>
    </row>
    <row r="726" spans="33:33" x14ac:dyDescent="0.3">
      <c r="AG726" s="84"/>
    </row>
    <row r="727" spans="33:33" x14ac:dyDescent="0.3">
      <c r="AG727" s="84"/>
    </row>
    <row r="728" spans="33:33" x14ac:dyDescent="0.3">
      <c r="AG728" s="84"/>
    </row>
    <row r="729" spans="33:33" x14ac:dyDescent="0.3">
      <c r="AG729" s="84"/>
    </row>
    <row r="730" spans="33:33" x14ac:dyDescent="0.3">
      <c r="AG730" s="84"/>
    </row>
    <row r="731" spans="33:33" x14ac:dyDescent="0.3">
      <c r="AG731" s="84"/>
    </row>
    <row r="732" spans="33:33" x14ac:dyDescent="0.3">
      <c r="AG732" s="84"/>
    </row>
    <row r="733" spans="33:33" x14ac:dyDescent="0.3">
      <c r="AG733" s="84"/>
    </row>
    <row r="734" spans="33:33" x14ac:dyDescent="0.3">
      <c r="AG734" s="84"/>
    </row>
    <row r="735" spans="33:33" x14ac:dyDescent="0.3">
      <c r="AG735" s="84"/>
    </row>
    <row r="736" spans="33:33" x14ac:dyDescent="0.3">
      <c r="AG736" s="84"/>
    </row>
    <row r="737" spans="33:33" x14ac:dyDescent="0.3">
      <c r="AG737" s="84"/>
    </row>
    <row r="738" spans="33:33" x14ac:dyDescent="0.3">
      <c r="AG738" s="84"/>
    </row>
    <row r="739" spans="33:33" x14ac:dyDescent="0.3">
      <c r="AG739" s="84"/>
    </row>
    <row r="740" spans="33:33" x14ac:dyDescent="0.3">
      <c r="AG740" s="84"/>
    </row>
    <row r="741" spans="33:33" x14ac:dyDescent="0.3">
      <c r="AG741" s="84"/>
    </row>
    <row r="742" spans="33:33" x14ac:dyDescent="0.3">
      <c r="AG742" s="84"/>
    </row>
    <row r="743" spans="33:33" x14ac:dyDescent="0.3">
      <c r="AG743" s="84"/>
    </row>
    <row r="744" spans="33:33" x14ac:dyDescent="0.3">
      <c r="AG744" s="84"/>
    </row>
    <row r="745" spans="33:33" x14ac:dyDescent="0.3">
      <c r="AG745" s="84"/>
    </row>
    <row r="746" spans="33:33" x14ac:dyDescent="0.3">
      <c r="AG746" s="84"/>
    </row>
    <row r="747" spans="33:33" x14ac:dyDescent="0.3">
      <c r="AG747" s="84"/>
    </row>
    <row r="748" spans="33:33" x14ac:dyDescent="0.3">
      <c r="AG748" s="84"/>
    </row>
    <row r="749" spans="33:33" x14ac:dyDescent="0.3">
      <c r="AG749" s="84"/>
    </row>
    <row r="750" spans="33:33" x14ac:dyDescent="0.3">
      <c r="AG750" s="84"/>
    </row>
    <row r="751" spans="33:33" x14ac:dyDescent="0.3">
      <c r="AG751" s="84"/>
    </row>
    <row r="752" spans="33:33" x14ac:dyDescent="0.3">
      <c r="AG752" s="84"/>
    </row>
    <row r="753" spans="33:33" x14ac:dyDescent="0.3">
      <c r="AG753" s="84"/>
    </row>
    <row r="754" spans="33:33" x14ac:dyDescent="0.3">
      <c r="AG754" s="84"/>
    </row>
    <row r="755" spans="33:33" x14ac:dyDescent="0.3">
      <c r="AG755" s="84"/>
    </row>
    <row r="756" spans="33:33" x14ac:dyDescent="0.3">
      <c r="AG756" s="84"/>
    </row>
    <row r="757" spans="33:33" x14ac:dyDescent="0.3">
      <c r="AG757" s="84"/>
    </row>
    <row r="758" spans="33:33" x14ac:dyDescent="0.3">
      <c r="AG758" s="84"/>
    </row>
    <row r="759" spans="33:33" x14ac:dyDescent="0.3">
      <c r="AG759" s="84"/>
    </row>
    <row r="760" spans="33:33" x14ac:dyDescent="0.3">
      <c r="AG760" s="84"/>
    </row>
    <row r="761" spans="33:33" x14ac:dyDescent="0.3">
      <c r="AG761" s="84"/>
    </row>
    <row r="762" spans="33:33" x14ac:dyDescent="0.3">
      <c r="AG762" s="84"/>
    </row>
    <row r="763" spans="33:33" x14ac:dyDescent="0.3">
      <c r="AG763" s="84"/>
    </row>
    <row r="764" spans="33:33" x14ac:dyDescent="0.3">
      <c r="AG764" s="84"/>
    </row>
    <row r="765" spans="33:33" x14ac:dyDescent="0.3">
      <c r="AG765" s="84"/>
    </row>
    <row r="766" spans="33:33" x14ac:dyDescent="0.3">
      <c r="AG766" s="84"/>
    </row>
    <row r="767" spans="33:33" x14ac:dyDescent="0.3">
      <c r="AG767" s="84"/>
    </row>
    <row r="768" spans="33:33" x14ac:dyDescent="0.3">
      <c r="AG768" s="84"/>
    </row>
    <row r="769" spans="33:33" x14ac:dyDescent="0.3">
      <c r="AG769" s="84"/>
    </row>
    <row r="770" spans="33:33" x14ac:dyDescent="0.3">
      <c r="AG770" s="84"/>
    </row>
    <row r="771" spans="33:33" x14ac:dyDescent="0.3">
      <c r="AG771" s="84"/>
    </row>
    <row r="772" spans="33:33" x14ac:dyDescent="0.3">
      <c r="AG772" s="84"/>
    </row>
    <row r="773" spans="33:33" x14ac:dyDescent="0.3">
      <c r="AG773" s="84"/>
    </row>
    <row r="774" spans="33:33" x14ac:dyDescent="0.3">
      <c r="AG774" s="84"/>
    </row>
    <row r="775" spans="33:33" x14ac:dyDescent="0.3">
      <c r="AG775" s="84"/>
    </row>
    <row r="776" spans="33:33" x14ac:dyDescent="0.3">
      <c r="AG776" s="84"/>
    </row>
    <row r="777" spans="33:33" x14ac:dyDescent="0.3">
      <c r="AG777" s="84"/>
    </row>
    <row r="778" spans="33:33" x14ac:dyDescent="0.3">
      <c r="AG778" s="84"/>
    </row>
    <row r="779" spans="33:33" x14ac:dyDescent="0.3">
      <c r="AG779" s="84"/>
    </row>
    <row r="780" spans="33:33" x14ac:dyDescent="0.3">
      <c r="AG780" s="84"/>
    </row>
    <row r="781" spans="33:33" x14ac:dyDescent="0.3">
      <c r="AG781" s="84"/>
    </row>
    <row r="782" spans="33:33" x14ac:dyDescent="0.3">
      <c r="AG782" s="84"/>
    </row>
    <row r="783" spans="33:33" x14ac:dyDescent="0.3">
      <c r="AG783" s="84"/>
    </row>
    <row r="784" spans="33:33" x14ac:dyDescent="0.3">
      <c r="AG784" s="84"/>
    </row>
    <row r="785" spans="33:33" x14ac:dyDescent="0.3">
      <c r="AG785" s="84"/>
    </row>
    <row r="786" spans="33:33" x14ac:dyDescent="0.3">
      <c r="AG786" s="84"/>
    </row>
    <row r="787" spans="33:33" x14ac:dyDescent="0.3">
      <c r="AG787" s="84"/>
    </row>
    <row r="788" spans="33:33" x14ac:dyDescent="0.3">
      <c r="AG788" s="84"/>
    </row>
    <row r="789" spans="33:33" x14ac:dyDescent="0.3">
      <c r="AG789" s="84"/>
    </row>
    <row r="790" spans="33:33" x14ac:dyDescent="0.3">
      <c r="AG790" s="84"/>
    </row>
    <row r="791" spans="33:33" x14ac:dyDescent="0.3">
      <c r="AG791" s="84"/>
    </row>
    <row r="792" spans="33:33" x14ac:dyDescent="0.3">
      <c r="AG792" s="84"/>
    </row>
    <row r="793" spans="33:33" x14ac:dyDescent="0.3">
      <c r="AG793" s="84"/>
    </row>
    <row r="794" spans="33:33" x14ac:dyDescent="0.3">
      <c r="AG794" s="84"/>
    </row>
    <row r="795" spans="33:33" x14ac:dyDescent="0.3">
      <c r="AG795" s="84"/>
    </row>
    <row r="796" spans="33:33" x14ac:dyDescent="0.3">
      <c r="AG796" s="84"/>
    </row>
    <row r="797" spans="33:33" x14ac:dyDescent="0.3">
      <c r="AG797" s="84"/>
    </row>
    <row r="798" spans="33:33" x14ac:dyDescent="0.3">
      <c r="AG798" s="84"/>
    </row>
    <row r="799" spans="33:33" x14ac:dyDescent="0.3">
      <c r="AG799" s="84"/>
    </row>
    <row r="800" spans="33:33" x14ac:dyDescent="0.3">
      <c r="AG800" s="84"/>
    </row>
    <row r="801" spans="33:33" x14ac:dyDescent="0.3">
      <c r="AG801" s="84"/>
    </row>
    <row r="802" spans="33:33" x14ac:dyDescent="0.3">
      <c r="AG802" s="84"/>
    </row>
    <row r="803" spans="33:33" x14ac:dyDescent="0.3">
      <c r="AG803" s="84"/>
    </row>
    <row r="804" spans="33:33" x14ac:dyDescent="0.3">
      <c r="AG804" s="84"/>
    </row>
    <row r="805" spans="33:33" x14ac:dyDescent="0.3">
      <c r="AG805" s="84"/>
    </row>
    <row r="806" spans="33:33" x14ac:dyDescent="0.3">
      <c r="AG806" s="84"/>
    </row>
    <row r="807" spans="33:33" x14ac:dyDescent="0.3">
      <c r="AG807" s="84"/>
    </row>
    <row r="808" spans="33:33" x14ac:dyDescent="0.3">
      <c r="AG808" s="84"/>
    </row>
    <row r="809" spans="33:33" x14ac:dyDescent="0.3">
      <c r="AG809" s="84"/>
    </row>
    <row r="810" spans="33:33" x14ac:dyDescent="0.3">
      <c r="AG810" s="84"/>
    </row>
    <row r="811" spans="33:33" x14ac:dyDescent="0.3">
      <c r="AG811" s="84"/>
    </row>
    <row r="812" spans="33:33" x14ac:dyDescent="0.3">
      <c r="AG812" s="84"/>
    </row>
    <row r="813" spans="33:33" x14ac:dyDescent="0.3">
      <c r="AG813" s="84"/>
    </row>
    <row r="814" spans="33:33" x14ac:dyDescent="0.3">
      <c r="AG814" s="84"/>
    </row>
    <row r="815" spans="33:33" x14ac:dyDescent="0.3">
      <c r="AG815" s="84"/>
    </row>
    <row r="816" spans="33:33" x14ac:dyDescent="0.3">
      <c r="AG816" s="84"/>
    </row>
    <row r="817" spans="33:33" x14ac:dyDescent="0.3">
      <c r="AG817" s="84"/>
    </row>
    <row r="818" spans="33:33" x14ac:dyDescent="0.3">
      <c r="AG818" s="84"/>
    </row>
    <row r="819" spans="33:33" x14ac:dyDescent="0.3">
      <c r="AG819" s="84"/>
    </row>
    <row r="820" spans="33:33" x14ac:dyDescent="0.3">
      <c r="AG820" s="84"/>
    </row>
    <row r="821" spans="33:33" x14ac:dyDescent="0.3">
      <c r="AG821" s="84"/>
    </row>
    <row r="822" spans="33:33" x14ac:dyDescent="0.3">
      <c r="AG822" s="84"/>
    </row>
    <row r="823" spans="33:33" x14ac:dyDescent="0.3">
      <c r="AG823" s="84"/>
    </row>
    <row r="824" spans="33:33" x14ac:dyDescent="0.3">
      <c r="AG824" s="84"/>
    </row>
    <row r="825" spans="33:33" x14ac:dyDescent="0.3">
      <c r="AG825" s="84"/>
    </row>
    <row r="826" spans="33:33" x14ac:dyDescent="0.3">
      <c r="AG826" s="84"/>
    </row>
    <row r="827" spans="33:33" x14ac:dyDescent="0.3">
      <c r="AG827" s="84"/>
    </row>
    <row r="828" spans="33:33" x14ac:dyDescent="0.3">
      <c r="AG828" s="84"/>
    </row>
    <row r="829" spans="33:33" x14ac:dyDescent="0.3">
      <c r="AG829" s="84"/>
    </row>
    <row r="830" spans="33:33" x14ac:dyDescent="0.3">
      <c r="AG830" s="84"/>
    </row>
    <row r="831" spans="33:33" x14ac:dyDescent="0.3">
      <c r="AG831" s="84"/>
    </row>
    <row r="832" spans="33:33" x14ac:dyDescent="0.3">
      <c r="AG832" s="84"/>
    </row>
    <row r="833" spans="33:33" x14ac:dyDescent="0.3">
      <c r="AG833" s="84"/>
    </row>
    <row r="834" spans="33:33" x14ac:dyDescent="0.3">
      <c r="AG834" s="84"/>
    </row>
    <row r="835" spans="33:33" x14ac:dyDescent="0.3">
      <c r="AG835" s="84"/>
    </row>
    <row r="836" spans="33:33" x14ac:dyDescent="0.3">
      <c r="AG836" s="84"/>
    </row>
    <row r="837" spans="33:33" x14ac:dyDescent="0.3">
      <c r="AG837" s="84"/>
    </row>
    <row r="838" spans="33:33" x14ac:dyDescent="0.3">
      <c r="AG838" s="84"/>
    </row>
    <row r="839" spans="33:33" x14ac:dyDescent="0.3">
      <c r="AG839" s="84"/>
    </row>
    <row r="840" spans="33:33" x14ac:dyDescent="0.3">
      <c r="AG840" s="84"/>
    </row>
    <row r="841" spans="33:33" x14ac:dyDescent="0.3">
      <c r="AG841" s="84"/>
    </row>
    <row r="842" spans="33:33" x14ac:dyDescent="0.3">
      <c r="AG842" s="84"/>
    </row>
    <row r="843" spans="33:33" x14ac:dyDescent="0.3">
      <c r="AG843" s="84"/>
    </row>
    <row r="844" spans="33:33" x14ac:dyDescent="0.3">
      <c r="AG844" s="84"/>
    </row>
    <row r="845" spans="33:33" x14ac:dyDescent="0.3">
      <c r="AG845" s="84"/>
    </row>
    <row r="846" spans="33:33" x14ac:dyDescent="0.3">
      <c r="AG846" s="84"/>
    </row>
    <row r="847" spans="33:33" x14ac:dyDescent="0.3">
      <c r="AG847" s="84"/>
    </row>
    <row r="848" spans="33:33" x14ac:dyDescent="0.3">
      <c r="AG848" s="84"/>
    </row>
    <row r="849" spans="33:33" x14ac:dyDescent="0.3">
      <c r="AG849" s="84"/>
    </row>
    <row r="850" spans="33:33" x14ac:dyDescent="0.3">
      <c r="AG850" s="84"/>
    </row>
    <row r="851" spans="33:33" x14ac:dyDescent="0.3">
      <c r="AG851" s="84"/>
    </row>
    <row r="852" spans="33:33" x14ac:dyDescent="0.3">
      <c r="AG852" s="84"/>
    </row>
    <row r="853" spans="33:33" x14ac:dyDescent="0.3">
      <c r="AG853" s="84"/>
    </row>
    <row r="854" spans="33:33" x14ac:dyDescent="0.3">
      <c r="AG854" s="84"/>
    </row>
    <row r="855" spans="33:33" x14ac:dyDescent="0.3">
      <c r="AG855" s="84"/>
    </row>
    <row r="856" spans="33:33" x14ac:dyDescent="0.3">
      <c r="AG856" s="84"/>
    </row>
    <row r="857" spans="33:33" x14ac:dyDescent="0.3">
      <c r="AG857" s="84"/>
    </row>
    <row r="858" spans="33:33" x14ac:dyDescent="0.3">
      <c r="AG858" s="84"/>
    </row>
    <row r="859" spans="33:33" x14ac:dyDescent="0.3">
      <c r="AG859" s="84"/>
    </row>
    <row r="860" spans="33:33" x14ac:dyDescent="0.3">
      <c r="AG860" s="84"/>
    </row>
    <row r="861" spans="33:33" x14ac:dyDescent="0.3">
      <c r="AG861" s="84"/>
    </row>
    <row r="862" spans="33:33" x14ac:dyDescent="0.3">
      <c r="AG862" s="84"/>
    </row>
    <row r="863" spans="33:33" x14ac:dyDescent="0.3">
      <c r="AG863" s="84"/>
    </row>
    <row r="864" spans="33:33" x14ac:dyDescent="0.3">
      <c r="AG864" s="84"/>
    </row>
    <row r="865" spans="33:33" x14ac:dyDescent="0.3">
      <c r="AG865" s="84"/>
    </row>
    <row r="866" spans="33:33" x14ac:dyDescent="0.3">
      <c r="AG866" s="84"/>
    </row>
    <row r="867" spans="33:33" x14ac:dyDescent="0.3">
      <c r="AG867" s="84"/>
    </row>
    <row r="868" spans="33:33" x14ac:dyDescent="0.3">
      <c r="AG868" s="84"/>
    </row>
    <row r="869" spans="33:33" x14ac:dyDescent="0.3">
      <c r="AG869" s="84"/>
    </row>
    <row r="870" spans="33:33" x14ac:dyDescent="0.3">
      <c r="AG870" s="84"/>
    </row>
    <row r="871" spans="33:33" x14ac:dyDescent="0.3">
      <c r="AG871" s="84"/>
    </row>
    <row r="872" spans="33:33" x14ac:dyDescent="0.3">
      <c r="AG872" s="84"/>
    </row>
    <row r="873" spans="33:33" x14ac:dyDescent="0.3">
      <c r="AG873" s="84"/>
    </row>
    <row r="874" spans="33:33" x14ac:dyDescent="0.3">
      <c r="AG874" s="84"/>
    </row>
    <row r="875" spans="33:33" x14ac:dyDescent="0.3">
      <c r="AG875" s="84"/>
    </row>
    <row r="876" spans="33:33" x14ac:dyDescent="0.3">
      <c r="AG876" s="84"/>
    </row>
    <row r="877" spans="33:33" x14ac:dyDescent="0.3">
      <c r="AG877" s="84"/>
    </row>
    <row r="878" spans="33:33" x14ac:dyDescent="0.3">
      <c r="AG878" s="84"/>
    </row>
    <row r="879" spans="33:33" x14ac:dyDescent="0.3">
      <c r="AG879" s="84"/>
    </row>
    <row r="880" spans="33:33" x14ac:dyDescent="0.3">
      <c r="AG880" s="84"/>
    </row>
    <row r="881" spans="33:33" x14ac:dyDescent="0.3">
      <c r="AG881" s="84"/>
    </row>
    <row r="882" spans="33:33" x14ac:dyDescent="0.3">
      <c r="AG882" s="84"/>
    </row>
    <row r="883" spans="33:33" x14ac:dyDescent="0.3">
      <c r="AG883" s="84"/>
    </row>
    <row r="884" spans="33:33" x14ac:dyDescent="0.3">
      <c r="AG884" s="84"/>
    </row>
    <row r="885" spans="33:33" x14ac:dyDescent="0.3">
      <c r="AG885" s="84"/>
    </row>
    <row r="886" spans="33:33" x14ac:dyDescent="0.3">
      <c r="AG886" s="84"/>
    </row>
    <row r="887" spans="33:33" x14ac:dyDescent="0.3">
      <c r="AG887" s="84"/>
    </row>
    <row r="888" spans="33:33" x14ac:dyDescent="0.3">
      <c r="AG888" s="84"/>
    </row>
    <row r="889" spans="33:33" x14ac:dyDescent="0.3">
      <c r="AG889" s="84"/>
    </row>
    <row r="890" spans="33:33" x14ac:dyDescent="0.3">
      <c r="AG890" s="84"/>
    </row>
    <row r="891" spans="33:33" x14ac:dyDescent="0.3">
      <c r="AG891" s="84"/>
    </row>
    <row r="892" spans="33:33" x14ac:dyDescent="0.3">
      <c r="AG892" s="84"/>
    </row>
    <row r="893" spans="33:33" x14ac:dyDescent="0.3">
      <c r="AG893" s="84"/>
    </row>
    <row r="894" spans="33:33" x14ac:dyDescent="0.3">
      <c r="AG894" s="84"/>
    </row>
    <row r="895" spans="33:33" x14ac:dyDescent="0.3">
      <c r="AG895" s="84"/>
    </row>
    <row r="896" spans="33:33" x14ac:dyDescent="0.3">
      <c r="AG896" s="84"/>
    </row>
    <row r="897" spans="33:33" x14ac:dyDescent="0.3">
      <c r="AG897" s="84"/>
    </row>
    <row r="898" spans="33:33" x14ac:dyDescent="0.3">
      <c r="AG898" s="84"/>
    </row>
    <row r="899" spans="33:33" x14ac:dyDescent="0.3">
      <c r="AG899" s="84"/>
    </row>
    <row r="900" spans="33:33" x14ac:dyDescent="0.3">
      <c r="AG900" s="84"/>
    </row>
    <row r="901" spans="33:33" x14ac:dyDescent="0.3">
      <c r="AG901" s="84"/>
    </row>
    <row r="902" spans="33:33" x14ac:dyDescent="0.3">
      <c r="AG902" s="84"/>
    </row>
    <row r="903" spans="33:33" x14ac:dyDescent="0.3">
      <c r="AG903" s="84"/>
    </row>
    <row r="904" spans="33:33" x14ac:dyDescent="0.3">
      <c r="AG904" s="84"/>
    </row>
    <row r="905" spans="33:33" x14ac:dyDescent="0.3">
      <c r="AG905" s="84"/>
    </row>
    <row r="906" spans="33:33" x14ac:dyDescent="0.3">
      <c r="AG906" s="84"/>
    </row>
    <row r="907" spans="33:33" x14ac:dyDescent="0.3">
      <c r="AG907" s="84"/>
    </row>
    <row r="908" spans="33:33" x14ac:dyDescent="0.3">
      <c r="AG908" s="84"/>
    </row>
    <row r="909" spans="33:33" x14ac:dyDescent="0.3">
      <c r="AG909" s="84"/>
    </row>
    <row r="910" spans="33:33" x14ac:dyDescent="0.3">
      <c r="AG910" s="84"/>
    </row>
    <row r="911" spans="33:33" x14ac:dyDescent="0.3">
      <c r="AG911" s="84"/>
    </row>
    <row r="912" spans="33:33" x14ac:dyDescent="0.3">
      <c r="AG912" s="84"/>
    </row>
    <row r="913" spans="33:33" x14ac:dyDescent="0.3">
      <c r="AG913" s="84"/>
    </row>
    <row r="914" spans="33:33" x14ac:dyDescent="0.3">
      <c r="AG914" s="84"/>
    </row>
    <row r="915" spans="33:33" x14ac:dyDescent="0.3">
      <c r="AG915" s="84"/>
    </row>
    <row r="916" spans="33:33" x14ac:dyDescent="0.3">
      <c r="AG916" s="84"/>
    </row>
    <row r="917" spans="33:33" x14ac:dyDescent="0.3">
      <c r="AG917" s="84"/>
    </row>
    <row r="918" spans="33:33" x14ac:dyDescent="0.3">
      <c r="AG918" s="84"/>
    </row>
    <row r="919" spans="33:33" x14ac:dyDescent="0.3">
      <c r="AG919" s="84"/>
    </row>
    <row r="920" spans="33:33" x14ac:dyDescent="0.3">
      <c r="AG920" s="84"/>
    </row>
    <row r="921" spans="33:33" x14ac:dyDescent="0.3">
      <c r="AG921" s="84"/>
    </row>
    <row r="922" spans="33:33" x14ac:dyDescent="0.3">
      <c r="AG922" s="84"/>
    </row>
    <row r="923" spans="33:33" x14ac:dyDescent="0.3">
      <c r="AG923" s="84"/>
    </row>
    <row r="924" spans="33:33" x14ac:dyDescent="0.3">
      <c r="AG924" s="84"/>
    </row>
    <row r="925" spans="33:33" x14ac:dyDescent="0.3">
      <c r="AG925" s="84"/>
    </row>
    <row r="926" spans="33:33" x14ac:dyDescent="0.3">
      <c r="AG926" s="84"/>
    </row>
    <row r="927" spans="33:33" x14ac:dyDescent="0.3">
      <c r="AG927" s="84"/>
    </row>
    <row r="928" spans="33:33" x14ac:dyDescent="0.3">
      <c r="AG928" s="84"/>
    </row>
    <row r="929" spans="33:33" x14ac:dyDescent="0.3">
      <c r="AG929" s="84"/>
    </row>
    <row r="930" spans="33:33" x14ac:dyDescent="0.3">
      <c r="AG930" s="84"/>
    </row>
    <row r="931" spans="33:33" x14ac:dyDescent="0.3">
      <c r="AG931" s="84"/>
    </row>
    <row r="932" spans="33:33" x14ac:dyDescent="0.3">
      <c r="AG932" s="84"/>
    </row>
    <row r="933" spans="33:33" x14ac:dyDescent="0.3">
      <c r="AG933" s="84"/>
    </row>
    <row r="934" spans="33:33" x14ac:dyDescent="0.3">
      <c r="AG934" s="84"/>
    </row>
    <row r="935" spans="33:33" x14ac:dyDescent="0.3">
      <c r="AG935" s="84"/>
    </row>
    <row r="936" spans="33:33" x14ac:dyDescent="0.3">
      <c r="AG936" s="84"/>
    </row>
    <row r="937" spans="33:33" x14ac:dyDescent="0.3">
      <c r="AG937" s="84"/>
    </row>
    <row r="938" spans="33:33" x14ac:dyDescent="0.3">
      <c r="AG938" s="84"/>
    </row>
    <row r="939" spans="33:33" x14ac:dyDescent="0.3">
      <c r="AG939" s="84"/>
    </row>
    <row r="940" spans="33:33" x14ac:dyDescent="0.3">
      <c r="AG940" s="84"/>
    </row>
    <row r="941" spans="33:33" x14ac:dyDescent="0.3">
      <c r="AG941" s="84"/>
    </row>
    <row r="942" spans="33:33" x14ac:dyDescent="0.3">
      <c r="AG942" s="84"/>
    </row>
    <row r="943" spans="33:33" x14ac:dyDescent="0.3">
      <c r="AG943" s="84"/>
    </row>
    <row r="944" spans="33:33" x14ac:dyDescent="0.3">
      <c r="AG944" s="84"/>
    </row>
    <row r="945" spans="33:33" x14ac:dyDescent="0.3">
      <c r="AG945" s="84"/>
    </row>
    <row r="946" spans="33:33" x14ac:dyDescent="0.3">
      <c r="AG946" s="84"/>
    </row>
    <row r="947" spans="33:33" x14ac:dyDescent="0.3">
      <c r="AG947" s="84"/>
    </row>
    <row r="948" spans="33:33" x14ac:dyDescent="0.3">
      <c r="AG948" s="84"/>
    </row>
    <row r="949" spans="33:33" x14ac:dyDescent="0.3">
      <c r="AG949" s="84"/>
    </row>
    <row r="950" spans="33:33" x14ac:dyDescent="0.3">
      <c r="AG950" s="84"/>
    </row>
    <row r="951" spans="33:33" x14ac:dyDescent="0.3">
      <c r="AG951" s="84"/>
    </row>
    <row r="952" spans="33:33" x14ac:dyDescent="0.3">
      <c r="AG952" s="84"/>
    </row>
    <row r="953" spans="33:33" x14ac:dyDescent="0.3">
      <c r="AG953" s="84"/>
    </row>
    <row r="954" spans="33:33" x14ac:dyDescent="0.3">
      <c r="AG954" s="84"/>
    </row>
    <row r="955" spans="33:33" x14ac:dyDescent="0.3">
      <c r="AG955" s="84"/>
    </row>
    <row r="956" spans="33:33" x14ac:dyDescent="0.3">
      <c r="AG956" s="84"/>
    </row>
    <row r="957" spans="33:33" x14ac:dyDescent="0.3">
      <c r="AG957" s="84"/>
    </row>
    <row r="958" spans="33:33" x14ac:dyDescent="0.3">
      <c r="AG958" s="84"/>
    </row>
    <row r="959" spans="33:33" x14ac:dyDescent="0.3">
      <c r="AG959" s="84"/>
    </row>
    <row r="960" spans="33:33" x14ac:dyDescent="0.3">
      <c r="AG960" s="84"/>
    </row>
    <row r="961" spans="33:33" x14ac:dyDescent="0.3">
      <c r="AG961" s="84"/>
    </row>
    <row r="962" spans="33:33" x14ac:dyDescent="0.3">
      <c r="AG962" s="84"/>
    </row>
    <row r="963" spans="33:33" x14ac:dyDescent="0.3">
      <c r="AG963" s="84"/>
    </row>
    <row r="964" spans="33:33" x14ac:dyDescent="0.3">
      <c r="AG964" s="84"/>
    </row>
    <row r="965" spans="33:33" x14ac:dyDescent="0.3">
      <c r="AG965" s="84"/>
    </row>
    <row r="966" spans="33:33" x14ac:dyDescent="0.3">
      <c r="AG966" s="84"/>
    </row>
    <row r="967" spans="33:33" x14ac:dyDescent="0.3">
      <c r="AG967" s="84"/>
    </row>
    <row r="968" spans="33:33" x14ac:dyDescent="0.3">
      <c r="AG968" s="84"/>
    </row>
    <row r="969" spans="33:33" x14ac:dyDescent="0.3">
      <c r="AG969" s="84"/>
    </row>
    <row r="970" spans="33:33" x14ac:dyDescent="0.3">
      <c r="AG970" s="84"/>
    </row>
    <row r="971" spans="33:33" x14ac:dyDescent="0.3">
      <c r="AG971" s="84"/>
    </row>
    <row r="972" spans="33:33" x14ac:dyDescent="0.3">
      <c r="AG972" s="84"/>
    </row>
    <row r="973" spans="33:33" x14ac:dyDescent="0.3">
      <c r="AG973" s="84"/>
    </row>
    <row r="974" spans="33:33" x14ac:dyDescent="0.3">
      <c r="AG974" s="84"/>
    </row>
    <row r="975" spans="33:33" x14ac:dyDescent="0.3">
      <c r="AG975" s="84"/>
    </row>
    <row r="976" spans="33:33" x14ac:dyDescent="0.3">
      <c r="AG976" s="84"/>
    </row>
    <row r="977" spans="33:33" x14ac:dyDescent="0.3">
      <c r="AG977" s="84"/>
    </row>
    <row r="978" spans="33:33" x14ac:dyDescent="0.3">
      <c r="AG978" s="84"/>
    </row>
    <row r="979" spans="33:33" x14ac:dyDescent="0.3">
      <c r="AG979" s="84"/>
    </row>
    <row r="980" spans="33:33" x14ac:dyDescent="0.3">
      <c r="AG980" s="84"/>
    </row>
    <row r="981" spans="33:33" x14ac:dyDescent="0.3">
      <c r="AG981" s="84"/>
    </row>
    <row r="982" spans="33:33" x14ac:dyDescent="0.3">
      <c r="AG982" s="84"/>
    </row>
    <row r="983" spans="33:33" x14ac:dyDescent="0.3">
      <c r="AG983" s="84"/>
    </row>
    <row r="984" spans="33:33" x14ac:dyDescent="0.3">
      <c r="AG984" s="84"/>
    </row>
    <row r="985" spans="33:33" x14ac:dyDescent="0.3">
      <c r="AG985" s="84"/>
    </row>
    <row r="986" spans="33:33" x14ac:dyDescent="0.3">
      <c r="AG986" s="84"/>
    </row>
    <row r="987" spans="33:33" x14ac:dyDescent="0.3">
      <c r="AG987" s="84"/>
    </row>
    <row r="988" spans="33:33" x14ac:dyDescent="0.3">
      <c r="AG988" s="84"/>
    </row>
    <row r="989" spans="33:33" x14ac:dyDescent="0.3">
      <c r="AG989" s="84"/>
    </row>
    <row r="990" spans="33:33" x14ac:dyDescent="0.3">
      <c r="AG990" s="84"/>
    </row>
    <row r="991" spans="33:33" x14ac:dyDescent="0.3">
      <c r="AG991" s="84"/>
    </row>
    <row r="992" spans="33:33" x14ac:dyDescent="0.3">
      <c r="AG992" s="84"/>
    </row>
    <row r="993" spans="33:33" x14ac:dyDescent="0.3">
      <c r="AG993" s="84"/>
    </row>
    <row r="994" spans="33:33" x14ac:dyDescent="0.3">
      <c r="AG994" s="84"/>
    </row>
    <row r="995" spans="33:33" x14ac:dyDescent="0.3">
      <c r="AG995" s="84"/>
    </row>
    <row r="996" spans="33:33" x14ac:dyDescent="0.3">
      <c r="AG996" s="84"/>
    </row>
    <row r="997" spans="33:33" x14ac:dyDescent="0.3">
      <c r="AG997" s="84"/>
    </row>
    <row r="998" spans="33:33" x14ac:dyDescent="0.3">
      <c r="AG998" s="84"/>
    </row>
    <row r="999" spans="33:33" x14ac:dyDescent="0.3">
      <c r="AG999" s="84"/>
    </row>
    <row r="1000" spans="33:33" x14ac:dyDescent="0.3">
      <c r="AG1000" s="84"/>
    </row>
    <row r="1001" spans="33:33" x14ac:dyDescent="0.3">
      <c r="AG1001" s="84"/>
    </row>
    <row r="1002" spans="33:33" x14ac:dyDescent="0.3">
      <c r="AG1002" s="84"/>
    </row>
    <row r="1003" spans="33:33" x14ac:dyDescent="0.3">
      <c r="AG1003" s="84"/>
    </row>
    <row r="1004" spans="33:33" x14ac:dyDescent="0.3">
      <c r="AG1004" s="84"/>
    </row>
    <row r="1005" spans="33:33" x14ac:dyDescent="0.3">
      <c r="AG1005" s="84"/>
    </row>
    <row r="1006" spans="33:33" x14ac:dyDescent="0.3">
      <c r="AG1006" s="84"/>
    </row>
    <row r="1007" spans="33:33" x14ac:dyDescent="0.3">
      <c r="AG1007" s="84"/>
    </row>
    <row r="1008" spans="33:33" x14ac:dyDescent="0.3">
      <c r="AG1008" s="84"/>
    </row>
    <row r="1009" spans="33:33" x14ac:dyDescent="0.3">
      <c r="AG1009" s="84"/>
    </row>
    <row r="1010" spans="33:33" x14ac:dyDescent="0.3">
      <c r="AG1010" s="84"/>
    </row>
    <row r="1011" spans="33:33" x14ac:dyDescent="0.3">
      <c r="AG1011" s="84"/>
    </row>
    <row r="1012" spans="33:33" x14ac:dyDescent="0.3">
      <c r="AG1012" s="84"/>
    </row>
    <row r="1013" spans="33:33" x14ac:dyDescent="0.3">
      <c r="AG1013" s="84"/>
    </row>
    <row r="1014" spans="33:33" x14ac:dyDescent="0.3">
      <c r="AG1014" s="84"/>
    </row>
    <row r="1015" spans="33:33" x14ac:dyDescent="0.3">
      <c r="AG1015" s="84"/>
    </row>
    <row r="1016" spans="33:33" x14ac:dyDescent="0.3">
      <c r="AG1016" s="84"/>
    </row>
    <row r="1017" spans="33:33" x14ac:dyDescent="0.3">
      <c r="AG1017" s="84"/>
    </row>
    <row r="1018" spans="33:33" x14ac:dyDescent="0.3">
      <c r="AG1018" s="84"/>
    </row>
    <row r="1019" spans="33:33" x14ac:dyDescent="0.3">
      <c r="AG1019" s="84"/>
    </row>
    <row r="1020" spans="33:33" x14ac:dyDescent="0.3">
      <c r="AG1020" s="84"/>
    </row>
    <row r="1021" spans="33:33" x14ac:dyDescent="0.3">
      <c r="AG1021" s="84"/>
    </row>
    <row r="1022" spans="33:33" x14ac:dyDescent="0.3">
      <c r="AG1022" s="84"/>
    </row>
    <row r="1023" spans="33:33" x14ac:dyDescent="0.3">
      <c r="AG1023" s="84"/>
    </row>
    <row r="1024" spans="33:33" x14ac:dyDescent="0.3">
      <c r="AG1024" s="84"/>
    </row>
    <row r="1025" spans="33:33" x14ac:dyDescent="0.3">
      <c r="AG1025" s="84"/>
    </row>
    <row r="1026" spans="33:33" x14ac:dyDescent="0.3">
      <c r="AG1026" s="84"/>
    </row>
    <row r="1027" spans="33:33" x14ac:dyDescent="0.3">
      <c r="AG1027" s="84"/>
    </row>
    <row r="1028" spans="33:33" x14ac:dyDescent="0.3">
      <c r="AG1028" s="84"/>
    </row>
    <row r="1029" spans="33:33" x14ac:dyDescent="0.3">
      <c r="AG1029" s="84"/>
    </row>
    <row r="1030" spans="33:33" x14ac:dyDescent="0.3">
      <c r="AG1030" s="84"/>
    </row>
    <row r="1031" spans="33:33" x14ac:dyDescent="0.3">
      <c r="AG1031" s="84"/>
    </row>
    <row r="1032" spans="33:33" x14ac:dyDescent="0.3">
      <c r="AG1032" s="84"/>
    </row>
    <row r="1033" spans="33:33" x14ac:dyDescent="0.3">
      <c r="AG1033" s="84"/>
    </row>
    <row r="1034" spans="33:33" x14ac:dyDescent="0.3">
      <c r="AG1034" s="84"/>
    </row>
    <row r="1035" spans="33:33" x14ac:dyDescent="0.3">
      <c r="AG1035" s="84"/>
    </row>
    <row r="1036" spans="33:33" x14ac:dyDescent="0.3">
      <c r="AG1036" s="84"/>
    </row>
    <row r="1037" spans="33:33" x14ac:dyDescent="0.3">
      <c r="AG1037" s="84"/>
    </row>
    <row r="1038" spans="33:33" x14ac:dyDescent="0.3">
      <c r="AG1038" s="84"/>
    </row>
    <row r="1039" spans="33:33" x14ac:dyDescent="0.3">
      <c r="AG1039" s="84"/>
    </row>
    <row r="1040" spans="33:33" x14ac:dyDescent="0.3">
      <c r="AG1040" s="84"/>
    </row>
    <row r="1041" spans="33:33" x14ac:dyDescent="0.3">
      <c r="AG1041" s="84"/>
    </row>
    <row r="1042" spans="33:33" x14ac:dyDescent="0.3">
      <c r="AG1042" s="84"/>
    </row>
    <row r="1043" spans="33:33" x14ac:dyDescent="0.3">
      <c r="AG1043" s="84"/>
    </row>
    <row r="1044" spans="33:33" x14ac:dyDescent="0.3">
      <c r="AG1044" s="84"/>
    </row>
    <row r="1045" spans="33:33" x14ac:dyDescent="0.3">
      <c r="AG1045" s="84"/>
    </row>
    <row r="1046" spans="33:33" x14ac:dyDescent="0.3">
      <c r="AG1046" s="84"/>
    </row>
    <row r="1047" spans="33:33" x14ac:dyDescent="0.3">
      <c r="AG1047" s="84"/>
    </row>
    <row r="1048" spans="33:33" x14ac:dyDescent="0.3">
      <c r="AG1048" s="84"/>
    </row>
    <row r="1049" spans="33:33" x14ac:dyDescent="0.3">
      <c r="AG1049" s="84"/>
    </row>
    <row r="1050" spans="33:33" x14ac:dyDescent="0.3">
      <c r="AG1050" s="84"/>
    </row>
    <row r="1051" spans="33:33" x14ac:dyDescent="0.3">
      <c r="AG1051" s="84"/>
    </row>
    <row r="1052" spans="33:33" x14ac:dyDescent="0.3">
      <c r="AG1052" s="84"/>
    </row>
    <row r="1053" spans="33:33" x14ac:dyDescent="0.3">
      <c r="AG1053" s="84"/>
    </row>
    <row r="1054" spans="33:33" x14ac:dyDescent="0.3">
      <c r="AG1054" s="84"/>
    </row>
    <row r="1055" spans="33:33" x14ac:dyDescent="0.3">
      <c r="AG1055" s="84"/>
    </row>
    <row r="1056" spans="33:33" x14ac:dyDescent="0.3">
      <c r="AG1056" s="84"/>
    </row>
    <row r="1057" spans="33:33" x14ac:dyDescent="0.3">
      <c r="AG1057" s="84"/>
    </row>
    <row r="1058" spans="33:33" x14ac:dyDescent="0.3">
      <c r="AG1058" s="84"/>
    </row>
    <row r="1059" spans="33:33" x14ac:dyDescent="0.3">
      <c r="AG1059" s="84"/>
    </row>
    <row r="1060" spans="33:33" x14ac:dyDescent="0.3">
      <c r="AG1060" s="84"/>
    </row>
    <row r="1061" spans="33:33" x14ac:dyDescent="0.3">
      <c r="AG1061" s="84"/>
    </row>
    <row r="1062" spans="33:33" x14ac:dyDescent="0.3">
      <c r="AG1062" s="84"/>
    </row>
    <row r="1063" spans="33:33" x14ac:dyDescent="0.3">
      <c r="AG1063" s="84"/>
    </row>
    <row r="1064" spans="33:33" x14ac:dyDescent="0.3">
      <c r="AG1064" s="84"/>
    </row>
    <row r="1065" spans="33:33" x14ac:dyDescent="0.3">
      <c r="AG1065" s="84"/>
    </row>
    <row r="1066" spans="33:33" x14ac:dyDescent="0.3">
      <c r="AG1066" s="84"/>
    </row>
    <row r="1067" spans="33:33" x14ac:dyDescent="0.3">
      <c r="AG1067" s="84"/>
    </row>
    <row r="1068" spans="33:33" x14ac:dyDescent="0.3">
      <c r="AG1068" s="84"/>
    </row>
    <row r="1069" spans="33:33" x14ac:dyDescent="0.3">
      <c r="AG1069" s="84"/>
    </row>
    <row r="1070" spans="33:33" x14ac:dyDescent="0.3">
      <c r="AG1070" s="84"/>
    </row>
    <row r="1071" spans="33:33" x14ac:dyDescent="0.3">
      <c r="AG1071" s="84"/>
    </row>
    <row r="1072" spans="33:33" x14ac:dyDescent="0.3">
      <c r="AG1072" s="84"/>
    </row>
    <row r="1073" spans="33:33" x14ac:dyDescent="0.3">
      <c r="AG1073" s="84"/>
    </row>
    <row r="1074" spans="33:33" x14ac:dyDescent="0.3">
      <c r="AG1074" s="84"/>
    </row>
    <row r="1075" spans="33:33" x14ac:dyDescent="0.3">
      <c r="AG1075" s="84"/>
    </row>
    <row r="1076" spans="33:33" x14ac:dyDescent="0.3">
      <c r="AG1076" s="84"/>
    </row>
    <row r="1077" spans="33:33" x14ac:dyDescent="0.3">
      <c r="AG1077" s="84"/>
    </row>
    <row r="1078" spans="33:33" x14ac:dyDescent="0.3">
      <c r="AG1078" s="84"/>
    </row>
    <row r="1079" spans="33:33" x14ac:dyDescent="0.3">
      <c r="AG1079" s="84"/>
    </row>
    <row r="1080" spans="33:33" x14ac:dyDescent="0.3">
      <c r="AG1080" s="84"/>
    </row>
    <row r="1081" spans="33:33" x14ac:dyDescent="0.3">
      <c r="AG1081" s="84"/>
    </row>
    <row r="1082" spans="33:33" x14ac:dyDescent="0.3">
      <c r="AG1082" s="84"/>
    </row>
    <row r="1083" spans="33:33" x14ac:dyDescent="0.3">
      <c r="AG1083" s="84"/>
    </row>
    <row r="1084" spans="33:33" x14ac:dyDescent="0.3">
      <c r="AG1084" s="84"/>
    </row>
    <row r="1085" spans="33:33" x14ac:dyDescent="0.3">
      <c r="AG1085" s="84"/>
    </row>
    <row r="1086" spans="33:33" x14ac:dyDescent="0.3">
      <c r="AG1086" s="84"/>
    </row>
    <row r="1087" spans="33:33" x14ac:dyDescent="0.3">
      <c r="AG1087" s="84"/>
    </row>
    <row r="1088" spans="33:33" x14ac:dyDescent="0.3">
      <c r="AG1088" s="84"/>
    </row>
    <row r="1089" spans="33:33" x14ac:dyDescent="0.3">
      <c r="AG1089" s="84"/>
    </row>
    <row r="1090" spans="33:33" x14ac:dyDescent="0.3">
      <c r="AG1090" s="84"/>
    </row>
    <row r="1091" spans="33:33" x14ac:dyDescent="0.3">
      <c r="AG1091" s="84"/>
    </row>
    <row r="1092" spans="33:33" x14ac:dyDescent="0.3">
      <c r="AG1092" s="84"/>
    </row>
    <row r="1093" spans="33:33" x14ac:dyDescent="0.3">
      <c r="AG1093" s="84"/>
    </row>
    <row r="1094" spans="33:33" x14ac:dyDescent="0.3">
      <c r="AG1094" s="84"/>
    </row>
    <row r="1095" spans="33:33" x14ac:dyDescent="0.3">
      <c r="AG1095" s="84"/>
    </row>
    <row r="1096" spans="33:33" x14ac:dyDescent="0.3">
      <c r="AG1096" s="84"/>
    </row>
    <row r="1097" spans="33:33" x14ac:dyDescent="0.3">
      <c r="AG1097" s="84"/>
    </row>
    <row r="1098" spans="33:33" x14ac:dyDescent="0.3">
      <c r="AG1098" s="84"/>
    </row>
    <row r="1099" spans="33:33" x14ac:dyDescent="0.3">
      <c r="AG1099" s="84"/>
    </row>
    <row r="1100" spans="33:33" x14ac:dyDescent="0.3">
      <c r="AG1100" s="84"/>
    </row>
    <row r="1101" spans="33:33" x14ac:dyDescent="0.3">
      <c r="AG1101" s="84"/>
    </row>
    <row r="1102" spans="33:33" x14ac:dyDescent="0.3">
      <c r="AG1102" s="84"/>
    </row>
    <row r="1103" spans="33:33" x14ac:dyDescent="0.3">
      <c r="AG1103" s="84"/>
    </row>
    <row r="1104" spans="33:33" x14ac:dyDescent="0.3">
      <c r="AG1104" s="84"/>
    </row>
    <row r="1105" spans="33:33" x14ac:dyDescent="0.3">
      <c r="AG1105" s="84"/>
    </row>
  </sheetData>
  <mergeCells count="88">
    <mergeCell ref="B71:E71"/>
    <mergeCell ref="B72:E72"/>
    <mergeCell ref="B73:E73"/>
    <mergeCell ref="B66:E66"/>
    <mergeCell ref="B67:E67"/>
    <mergeCell ref="B68:E68"/>
    <mergeCell ref="B69:E69"/>
    <mergeCell ref="B70:E70"/>
    <mergeCell ref="B61:E61"/>
    <mergeCell ref="B62:E62"/>
    <mergeCell ref="B63:E63"/>
    <mergeCell ref="B64:E64"/>
    <mergeCell ref="B65:E65"/>
    <mergeCell ref="B56:E56"/>
    <mergeCell ref="B57:E57"/>
    <mergeCell ref="B58:E58"/>
    <mergeCell ref="B59:E59"/>
    <mergeCell ref="B60:E60"/>
    <mergeCell ref="B1:I1"/>
    <mergeCell ref="S3:W3"/>
    <mergeCell ref="A4:E5"/>
    <mergeCell ref="P4:P5"/>
    <mergeCell ref="Q4:Q5"/>
    <mergeCell ref="R4:R5"/>
    <mergeCell ref="S4:S5"/>
    <mergeCell ref="T4:T5"/>
    <mergeCell ref="V4:V5"/>
    <mergeCell ref="W4:W5"/>
    <mergeCell ref="AF4:AF5"/>
    <mergeCell ref="AG4:AG5"/>
    <mergeCell ref="AH4:AH5"/>
    <mergeCell ref="AK4:AK5"/>
    <mergeCell ref="A6:E6"/>
    <mergeCell ref="X4:X5"/>
    <mergeCell ref="Y4:Y5"/>
    <mergeCell ref="Z4:Z5"/>
    <mergeCell ref="AA4:AA5"/>
    <mergeCell ref="AB4:AB5"/>
    <mergeCell ref="AC4:AC5"/>
    <mergeCell ref="B21:E21"/>
    <mergeCell ref="B7:E7"/>
    <mergeCell ref="B8:E8"/>
    <mergeCell ref="B9:E9"/>
    <mergeCell ref="B10:E10"/>
    <mergeCell ref="B11:E11"/>
    <mergeCell ref="B12:E12"/>
    <mergeCell ref="B13:E13"/>
    <mergeCell ref="B14:E14"/>
    <mergeCell ref="B15:E15"/>
    <mergeCell ref="B16:E16"/>
    <mergeCell ref="B17:E17"/>
    <mergeCell ref="B18:E18"/>
    <mergeCell ref="B19:E19"/>
    <mergeCell ref="B20:E20"/>
    <mergeCell ref="B33:E33"/>
    <mergeCell ref="B22:E22"/>
    <mergeCell ref="B23:E23"/>
    <mergeCell ref="B24:E24"/>
    <mergeCell ref="B25:E25"/>
    <mergeCell ref="B26:E26"/>
    <mergeCell ref="B27:E27"/>
    <mergeCell ref="B28:E28"/>
    <mergeCell ref="B29:E29"/>
    <mergeCell ref="B30:E30"/>
    <mergeCell ref="B31:E31"/>
    <mergeCell ref="B32:E32"/>
    <mergeCell ref="B45:E45"/>
    <mergeCell ref="B34:E34"/>
    <mergeCell ref="B35:E35"/>
    <mergeCell ref="B36:E36"/>
    <mergeCell ref="B37:E37"/>
    <mergeCell ref="B38:E38"/>
    <mergeCell ref="B39:E39"/>
    <mergeCell ref="B40:E40"/>
    <mergeCell ref="B41:E41"/>
    <mergeCell ref="B42:E42"/>
    <mergeCell ref="B43:E43"/>
    <mergeCell ref="B44:E44"/>
    <mergeCell ref="B52:E52"/>
    <mergeCell ref="B53:E53"/>
    <mergeCell ref="B54:E54"/>
    <mergeCell ref="B55:E55"/>
    <mergeCell ref="B46:E46"/>
    <mergeCell ref="B47:E47"/>
    <mergeCell ref="B48:E48"/>
    <mergeCell ref="B49:E49"/>
    <mergeCell ref="B50:E50"/>
    <mergeCell ref="B51:E51"/>
  </mergeCells>
  <pageMargins left="0.69930555555555596" right="0.69930555555555596" top="0.75" bottom="0.75" header="0.3" footer="0.3"/>
  <pageSetup paperSize="10000" scale="38" orientation="landscape" r:id="rId1"/>
  <rowBreaks count="1" manualBreakCount="1">
    <brk id="51" max="85" man="1"/>
  </rowBreaks>
  <colBreaks count="1" manualBreakCount="1">
    <brk id="37" min="3" max="343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C6E49-294C-4232-8845-B40091472D7C}">
  <dimension ref="A1:EU1105"/>
  <sheetViews>
    <sheetView zoomScale="110" zoomScaleNormal="110" zoomScaleSheetLayoutView="98" workbookViewId="0">
      <pane xSplit="6" ySplit="5" topLeftCell="G6" activePane="bottomRight" state="frozen"/>
      <selection activeCell="A16" sqref="A16:XFD16"/>
      <selection pane="topRight" activeCell="A16" sqref="A16:XFD16"/>
      <selection pane="bottomLeft" activeCell="A16" sqref="A16:XFD16"/>
      <selection pane="bottomRight" activeCell="A7" sqref="A7"/>
    </sheetView>
  </sheetViews>
  <sheetFormatPr defaultColWidth="9" defaultRowHeight="14.4" x14ac:dyDescent="0.3"/>
  <cols>
    <col min="1" max="1" width="3" customWidth="1"/>
    <col min="2" max="2" width="16.44140625" bestFit="1" customWidth="1"/>
    <col min="3" max="3" width="1.88671875" customWidth="1"/>
    <col min="4" max="4" width="13.109375" customWidth="1"/>
    <col min="5" max="5" width="3" customWidth="1"/>
    <col min="6" max="6" width="17.5546875" hidden="1" customWidth="1"/>
    <col min="7" max="7" width="12" customWidth="1"/>
    <col min="8" max="8" width="41.44140625" hidden="1" customWidth="1"/>
    <col min="9" max="9" width="10.5546875" customWidth="1"/>
    <col min="10" max="10" width="43" hidden="1" customWidth="1"/>
    <col min="11" max="11" width="10.5546875" customWidth="1"/>
    <col min="12" max="12" width="31.44140625" hidden="1" customWidth="1"/>
    <col min="13" max="13" width="9" customWidth="1"/>
    <col min="14" max="14" width="28.109375" hidden="1" customWidth="1"/>
    <col min="15" max="15" width="10.44140625" customWidth="1"/>
    <col min="16" max="16" width="10.109375" customWidth="1"/>
    <col min="17" max="17" width="8.88671875" bestFit="1" customWidth="1"/>
    <col min="18" max="20" width="8.44140625" customWidth="1"/>
    <col min="21" max="21" width="9.33203125" customWidth="1"/>
    <col min="22" max="23" width="9.6640625" customWidth="1"/>
    <col min="24" max="24" width="10.109375" customWidth="1"/>
    <col min="25" max="25" width="9.109375" customWidth="1"/>
    <col min="26" max="26" width="9.88671875" customWidth="1"/>
    <col min="27" max="27" width="8.33203125" customWidth="1"/>
    <col min="28" max="28" width="8.109375" customWidth="1"/>
    <col min="29" max="29" width="11.33203125" customWidth="1"/>
    <col min="30" max="30" width="11.6640625" customWidth="1"/>
    <col min="31" max="31" width="8.33203125" customWidth="1"/>
    <col min="32" max="32" width="12.44140625" customWidth="1"/>
    <col min="33" max="33" width="9.88671875" customWidth="1"/>
    <col min="34" max="34" width="10.5546875" customWidth="1"/>
    <col min="35" max="35" width="10.33203125" customWidth="1"/>
    <col min="36" max="36" width="8.5546875" customWidth="1"/>
    <col min="37" max="37" width="12.5546875" customWidth="1"/>
    <col min="38" max="38" width="6.109375" customWidth="1"/>
    <col min="39" max="39" width="3" customWidth="1"/>
  </cols>
  <sheetData>
    <row r="1" spans="1:115" x14ac:dyDescent="0.3">
      <c r="A1" s="1"/>
      <c r="B1" s="116"/>
      <c r="C1" s="116"/>
      <c r="D1" s="116"/>
      <c r="E1" s="116"/>
      <c r="F1" s="116"/>
      <c r="G1" s="116"/>
      <c r="H1" s="116"/>
      <c r="I1" s="116"/>
      <c r="J1" s="2"/>
      <c r="K1" s="2"/>
      <c r="L1" s="3"/>
      <c r="M1" s="2"/>
      <c r="N1" s="2"/>
      <c r="O1" s="2"/>
      <c r="Q1" s="2"/>
      <c r="R1" s="2"/>
      <c r="S1" s="2"/>
      <c r="T1" s="2"/>
      <c r="AG1" s="4"/>
      <c r="AH1" s="4"/>
      <c r="AL1" s="5"/>
      <c r="AM1" s="6"/>
      <c r="AN1" s="5"/>
      <c r="AO1" s="5"/>
      <c r="AP1" s="5"/>
      <c r="AQ1" s="5"/>
      <c r="AR1" s="7"/>
      <c r="AS1" s="7"/>
      <c r="AT1" s="7"/>
      <c r="AU1" s="7"/>
      <c r="AV1" s="7"/>
    </row>
    <row r="2" spans="1:115" ht="12" hidden="1" customHeight="1" x14ac:dyDescent="0.3">
      <c r="A2" s="8"/>
      <c r="B2" s="9"/>
      <c r="C2" s="10" t="s">
        <v>0</v>
      </c>
      <c r="D2" s="11"/>
      <c r="E2" s="10"/>
      <c r="F2" s="10"/>
      <c r="H2" s="12" t="s">
        <v>1</v>
      </c>
      <c r="I2" s="13"/>
      <c r="J2" s="14"/>
      <c r="K2" s="15" t="s">
        <v>2</v>
      </c>
      <c r="L2" s="14"/>
      <c r="M2" s="16"/>
      <c r="N2" s="17"/>
      <c r="O2" s="18"/>
      <c r="Q2" s="19"/>
      <c r="R2" s="19" t="s">
        <v>3</v>
      </c>
      <c r="S2" s="20"/>
      <c r="U2" s="21" t="s">
        <v>4</v>
      </c>
      <c r="V2" s="21"/>
      <c r="W2" s="22"/>
      <c r="Y2" s="23" t="s">
        <v>5</v>
      </c>
      <c r="Z2" s="24"/>
      <c r="AB2" s="25" t="s">
        <v>6</v>
      </c>
      <c r="AC2" s="26"/>
      <c r="AD2" s="27"/>
      <c r="AE2" s="28" t="s">
        <v>7</v>
      </c>
      <c r="AF2" s="29"/>
      <c r="AG2" s="30"/>
      <c r="AH2" s="31" t="s">
        <v>8</v>
      </c>
      <c r="AI2" s="32"/>
      <c r="AJ2" s="32"/>
      <c r="AN2" s="5"/>
      <c r="AO2" s="5"/>
      <c r="AP2" s="5"/>
      <c r="AQ2" s="5"/>
      <c r="AR2" s="7"/>
      <c r="AS2" s="7"/>
      <c r="AT2" s="7"/>
      <c r="AU2" s="7"/>
      <c r="AV2" s="7"/>
    </row>
    <row r="3" spans="1:115" ht="15" customHeight="1" x14ac:dyDescent="0.3">
      <c r="A3" s="33" t="s">
        <v>9</v>
      </c>
      <c r="B3" s="34"/>
      <c r="C3" s="35"/>
      <c r="D3" s="34"/>
      <c r="E3" s="36"/>
      <c r="F3" s="37"/>
      <c r="G3" s="38" t="s">
        <v>10</v>
      </c>
      <c r="H3" s="39"/>
      <c r="I3" s="38"/>
      <c r="J3" s="38"/>
      <c r="K3" s="40"/>
      <c r="L3" s="41"/>
      <c r="M3" s="42"/>
      <c r="N3" s="43"/>
      <c r="O3" s="43"/>
      <c r="P3" s="44"/>
      <c r="Q3" s="45"/>
      <c r="R3" s="46"/>
      <c r="S3" s="117" t="s">
        <v>11</v>
      </c>
      <c r="T3" s="117"/>
      <c r="U3" s="118"/>
      <c r="V3" s="118"/>
      <c r="W3" s="118"/>
      <c r="X3" s="40"/>
      <c r="Y3" s="40"/>
      <c r="Z3" s="40"/>
      <c r="AA3" s="40"/>
      <c r="AB3" s="40"/>
      <c r="AC3" s="40"/>
      <c r="AD3" s="40"/>
      <c r="AE3" s="40"/>
      <c r="AF3" s="40"/>
      <c r="AG3" s="40"/>
      <c r="AH3" s="40"/>
      <c r="AI3" s="40"/>
      <c r="AJ3" s="40"/>
      <c r="AK3" s="47"/>
      <c r="AL3" s="35"/>
      <c r="AM3" s="48"/>
    </row>
    <row r="4" spans="1:115" s="1" customFormat="1" ht="22.5" customHeight="1" x14ac:dyDescent="0.3">
      <c r="A4" s="119" t="s">
        <v>12</v>
      </c>
      <c r="B4" s="119"/>
      <c r="C4" s="119"/>
      <c r="D4" s="119"/>
      <c r="E4" s="119"/>
      <c r="F4" s="49" t="s">
        <v>13</v>
      </c>
      <c r="G4" s="103" t="s">
        <v>14</v>
      </c>
      <c r="H4" s="104" t="s">
        <v>15</v>
      </c>
      <c r="I4" s="105" t="s">
        <v>15</v>
      </c>
      <c r="J4" s="104" t="s">
        <v>16</v>
      </c>
      <c r="K4" s="105" t="s">
        <v>17</v>
      </c>
      <c r="L4" s="104" t="s">
        <v>18</v>
      </c>
      <c r="M4" s="41" t="s">
        <v>19</v>
      </c>
      <c r="N4" s="106" t="s">
        <v>20</v>
      </c>
      <c r="O4" s="105" t="s">
        <v>21</v>
      </c>
      <c r="P4" s="112" t="s">
        <v>22</v>
      </c>
      <c r="Q4" s="112" t="s">
        <v>23</v>
      </c>
      <c r="R4" s="112" t="s">
        <v>24</v>
      </c>
      <c r="S4" s="120" t="s">
        <v>25</v>
      </c>
      <c r="T4" s="120" t="s">
        <v>26</v>
      </c>
      <c r="U4" s="51" t="s">
        <v>27</v>
      </c>
      <c r="V4" s="112" t="s">
        <v>28</v>
      </c>
      <c r="W4" s="112" t="s">
        <v>29</v>
      </c>
      <c r="X4" s="112" t="s">
        <v>30</v>
      </c>
      <c r="Y4" s="112" t="s">
        <v>31</v>
      </c>
      <c r="Z4" s="112" t="s">
        <v>32</v>
      </c>
      <c r="AA4" s="112" t="s">
        <v>33</v>
      </c>
      <c r="AB4" s="112" t="s">
        <v>34</v>
      </c>
      <c r="AC4" s="112" t="s">
        <v>35</v>
      </c>
      <c r="AD4" s="52" t="s">
        <v>36</v>
      </c>
      <c r="AE4" s="50" t="s">
        <v>37</v>
      </c>
      <c r="AF4" s="112" t="s">
        <v>38</v>
      </c>
      <c r="AG4" s="112" t="s">
        <v>39</v>
      </c>
      <c r="AH4" s="112" t="s">
        <v>40</v>
      </c>
      <c r="AI4" s="50" t="s">
        <v>41</v>
      </c>
      <c r="AJ4" s="50" t="s">
        <v>42</v>
      </c>
      <c r="AK4" s="113" t="s">
        <v>43</v>
      </c>
      <c r="AL4" s="33"/>
      <c r="AM4" s="48"/>
      <c r="AN4" s="5"/>
      <c r="AO4" s="5"/>
      <c r="AP4" s="5"/>
      <c r="AQ4" s="5"/>
      <c r="AR4" s="7"/>
      <c r="AS4" s="7"/>
      <c r="AT4" s="7"/>
      <c r="AU4" s="7"/>
      <c r="AV4" s="7"/>
      <c r="AW4"/>
      <c r="AX4"/>
      <c r="AY4"/>
      <c r="AZ4"/>
      <c r="BA4"/>
      <c r="BB4"/>
      <c r="BC4"/>
      <c r="BD4"/>
      <c r="BE4"/>
      <c r="BF4"/>
      <c r="BG4"/>
    </row>
    <row r="5" spans="1:115" s="1" customFormat="1" ht="18" customHeight="1" x14ac:dyDescent="0.3">
      <c r="A5" s="119"/>
      <c r="B5" s="119"/>
      <c r="C5" s="119"/>
      <c r="D5" s="119"/>
      <c r="E5" s="119"/>
      <c r="F5" s="49"/>
      <c r="G5" s="105" t="s">
        <v>44</v>
      </c>
      <c r="H5" s="104" t="s">
        <v>45</v>
      </c>
      <c r="I5" s="105" t="s">
        <v>44</v>
      </c>
      <c r="J5" s="104" t="s">
        <v>45</v>
      </c>
      <c r="K5" s="105" t="s">
        <v>44</v>
      </c>
      <c r="L5" s="104" t="s">
        <v>45</v>
      </c>
      <c r="M5" s="105" t="s">
        <v>44</v>
      </c>
      <c r="N5" s="107" t="s">
        <v>46</v>
      </c>
      <c r="O5" s="105" t="s">
        <v>44</v>
      </c>
      <c r="P5" s="112"/>
      <c r="Q5" s="112"/>
      <c r="R5" s="112"/>
      <c r="S5" s="120"/>
      <c r="T5" s="120"/>
      <c r="U5" s="53"/>
      <c r="V5" s="112"/>
      <c r="W5" s="112"/>
      <c r="X5" s="112"/>
      <c r="Y5" s="112"/>
      <c r="Z5" s="112"/>
      <c r="AA5" s="112"/>
      <c r="AB5" s="112"/>
      <c r="AC5" s="112"/>
      <c r="AD5" s="50" t="s">
        <v>47</v>
      </c>
      <c r="AE5" s="50" t="s">
        <v>48</v>
      </c>
      <c r="AF5" s="112"/>
      <c r="AG5" s="112"/>
      <c r="AH5" s="112"/>
      <c r="AI5" s="54" t="s">
        <v>47</v>
      </c>
      <c r="AJ5" s="54" t="s">
        <v>49</v>
      </c>
      <c r="AK5" s="113"/>
      <c r="AL5" s="33"/>
      <c r="AM5" s="48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</row>
    <row r="6" spans="1:115" s="1" customFormat="1" ht="15" customHeight="1" x14ac:dyDescent="0.3">
      <c r="A6" s="114" t="s">
        <v>58</v>
      </c>
      <c r="B6" s="115"/>
      <c r="C6" s="115"/>
      <c r="D6" s="115"/>
      <c r="E6" s="115"/>
      <c r="F6" s="55"/>
      <c r="G6" s="56"/>
      <c r="H6" s="57"/>
      <c r="I6" s="57"/>
      <c r="J6" s="57"/>
      <c r="K6" s="57"/>
      <c r="L6" s="57"/>
      <c r="M6" s="57"/>
      <c r="N6" s="58"/>
      <c r="O6" s="58"/>
      <c r="P6" s="59"/>
      <c r="Q6" s="55"/>
      <c r="R6" s="55"/>
      <c r="S6" s="60"/>
      <c r="T6" s="60"/>
      <c r="U6" s="61"/>
      <c r="V6" s="55"/>
      <c r="W6" s="55"/>
      <c r="X6" s="55"/>
      <c r="Y6" s="55"/>
      <c r="Z6" s="55"/>
      <c r="AA6" s="55"/>
      <c r="AB6" s="55"/>
      <c r="AC6" s="55"/>
      <c r="AD6" s="55"/>
      <c r="AE6" s="55"/>
      <c r="AF6" s="55"/>
      <c r="AG6" s="55"/>
      <c r="AH6" s="55"/>
      <c r="AI6" s="62"/>
      <c r="AJ6" s="62"/>
      <c r="AK6" s="63"/>
      <c r="AL6" s="64"/>
      <c r="AM6" s="48"/>
      <c r="AN6" s="5"/>
      <c r="AO6" s="5"/>
      <c r="AP6" s="5"/>
      <c r="AQ6" s="5"/>
      <c r="AR6" s="7"/>
      <c r="AS6" s="7"/>
      <c r="AT6" s="7"/>
      <c r="AU6" s="7"/>
      <c r="AV6" s="7"/>
      <c r="AW6"/>
      <c r="AX6"/>
      <c r="AY6"/>
      <c r="AZ6"/>
      <c r="BA6"/>
      <c r="BB6"/>
      <c r="BC6"/>
      <c r="BD6"/>
      <c r="BE6"/>
      <c r="BF6"/>
      <c r="BG6"/>
    </row>
    <row r="7" spans="1:115" ht="15" customHeight="1" x14ac:dyDescent="0.3">
      <c r="A7" s="65"/>
      <c r="B7" s="109"/>
      <c r="C7" s="110"/>
      <c r="D7" s="110"/>
      <c r="E7" s="111"/>
      <c r="F7" s="85"/>
      <c r="G7" s="86"/>
      <c r="H7" s="86"/>
      <c r="I7" s="86"/>
      <c r="J7" s="86"/>
      <c r="K7" s="86"/>
      <c r="L7" s="86"/>
      <c r="M7" s="86"/>
      <c r="N7" s="86"/>
      <c r="O7" s="86"/>
      <c r="P7" s="86"/>
      <c r="Q7" s="67">
        <f t="shared" ref="Q7:Q70" si="0">P7*0.02</f>
        <v>0</v>
      </c>
      <c r="R7" s="67">
        <f t="shared" ref="R7:R70" si="1">P7+Q7</f>
        <v>0</v>
      </c>
      <c r="S7" s="86"/>
      <c r="T7" s="86"/>
      <c r="U7" s="86"/>
      <c r="V7" s="86"/>
      <c r="W7" s="66">
        <f t="shared" ref="W7:W70" si="2">G7+I7+K7+M7+O7+R7+S7+T7+U7+V7</f>
        <v>0</v>
      </c>
      <c r="X7" s="96"/>
      <c r="Y7" s="68">
        <f t="shared" ref="Y7:Y70" si="3">X7*0.02</f>
        <v>0</v>
      </c>
      <c r="Z7" s="68">
        <f t="shared" ref="Z7:Z70" si="4">X7+Y7</f>
        <v>0</v>
      </c>
      <c r="AA7" s="72"/>
      <c r="AB7" s="68">
        <f>AA7*0.025</f>
        <v>0</v>
      </c>
      <c r="AC7" s="68">
        <f>AA7+AB7</f>
        <v>0</v>
      </c>
      <c r="AD7" s="68"/>
      <c r="AE7" s="55"/>
      <c r="AF7" s="69">
        <f t="shared" ref="AF7:AF73" si="5">W7+Z7+AC7+AD7+AE7</f>
        <v>0</v>
      </c>
      <c r="AG7" s="86"/>
      <c r="AH7" s="108"/>
      <c r="AI7" s="108"/>
      <c r="AJ7" s="108"/>
      <c r="AK7" s="70">
        <f t="shared" ref="AK7:AK70" si="6">AF7-AG7-AH7-AI7-AJ7</f>
        <v>0</v>
      </c>
      <c r="AL7" s="71"/>
      <c r="AM7" s="48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</row>
    <row r="8" spans="1:115" ht="15.75" customHeight="1" x14ac:dyDescent="0.3">
      <c r="A8" s="65"/>
      <c r="B8" s="109"/>
      <c r="C8" s="110"/>
      <c r="D8" s="110"/>
      <c r="E8" s="111"/>
      <c r="F8" s="85"/>
      <c r="G8" s="86"/>
      <c r="H8" s="86"/>
      <c r="I8" s="86"/>
      <c r="J8" s="86"/>
      <c r="K8" s="86"/>
      <c r="L8" s="86"/>
      <c r="M8" s="86"/>
      <c r="N8" s="86"/>
      <c r="O8" s="86"/>
      <c r="P8" s="86"/>
      <c r="Q8" s="67">
        <f t="shared" si="0"/>
        <v>0</v>
      </c>
      <c r="R8" s="67">
        <f t="shared" si="1"/>
        <v>0</v>
      </c>
      <c r="S8" s="86"/>
      <c r="T8" s="86"/>
      <c r="U8" s="86"/>
      <c r="V8" s="86"/>
      <c r="W8" s="66">
        <f t="shared" si="2"/>
        <v>0</v>
      </c>
      <c r="X8" s="97"/>
      <c r="Y8" s="68">
        <f t="shared" si="3"/>
        <v>0</v>
      </c>
      <c r="Z8" s="68">
        <f t="shared" si="4"/>
        <v>0</v>
      </c>
      <c r="AA8" s="72"/>
      <c r="AB8" s="68">
        <f t="shared" ref="AB8:AB73" si="7">AA8*0.025</f>
        <v>0</v>
      </c>
      <c r="AC8" s="68">
        <f t="shared" ref="AC8:AC73" si="8">AA8+AB8</f>
        <v>0</v>
      </c>
      <c r="AD8" s="68"/>
      <c r="AE8" s="55"/>
      <c r="AF8" s="69">
        <f t="shared" si="5"/>
        <v>0</v>
      </c>
      <c r="AG8" s="86"/>
      <c r="AH8" s="108"/>
      <c r="AI8" s="108"/>
      <c r="AJ8" s="108"/>
      <c r="AK8" s="70">
        <f t="shared" si="6"/>
        <v>0</v>
      </c>
      <c r="AL8" s="71"/>
      <c r="AM8" s="48"/>
      <c r="AN8" s="5"/>
      <c r="AO8" s="5"/>
      <c r="AP8" s="5"/>
      <c r="AQ8" s="5"/>
      <c r="AR8" s="7"/>
      <c r="AS8" s="7"/>
      <c r="AT8" s="7"/>
      <c r="AU8" s="7"/>
      <c r="AV8" s="7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</row>
    <row r="9" spans="1:115" ht="14.25" customHeight="1" x14ac:dyDescent="0.3">
      <c r="A9" s="65"/>
      <c r="B9" s="109"/>
      <c r="C9" s="110"/>
      <c r="D9" s="110"/>
      <c r="E9" s="111"/>
      <c r="F9" s="85"/>
      <c r="G9" s="86"/>
      <c r="H9" s="86"/>
      <c r="I9" s="86"/>
      <c r="J9" s="86"/>
      <c r="K9" s="86"/>
      <c r="L9" s="86"/>
      <c r="M9" s="86"/>
      <c r="N9" s="86"/>
      <c r="O9" s="86"/>
      <c r="P9" s="86"/>
      <c r="Q9" s="67">
        <f t="shared" si="0"/>
        <v>0</v>
      </c>
      <c r="R9" s="67">
        <f t="shared" si="1"/>
        <v>0</v>
      </c>
      <c r="S9" s="86"/>
      <c r="T9" s="86"/>
      <c r="U9" s="86"/>
      <c r="V9" s="86"/>
      <c r="W9" s="66">
        <f t="shared" si="2"/>
        <v>0</v>
      </c>
      <c r="X9" s="98"/>
      <c r="Y9" s="68">
        <f t="shared" si="3"/>
        <v>0</v>
      </c>
      <c r="Z9" s="68">
        <f t="shared" si="4"/>
        <v>0</v>
      </c>
      <c r="AA9" s="72"/>
      <c r="AB9" s="68">
        <f t="shared" si="7"/>
        <v>0</v>
      </c>
      <c r="AC9" s="68">
        <f t="shared" si="8"/>
        <v>0</v>
      </c>
      <c r="AD9" s="68"/>
      <c r="AE9" s="55"/>
      <c r="AF9" s="69">
        <f t="shared" si="5"/>
        <v>0</v>
      </c>
      <c r="AG9" s="86"/>
      <c r="AH9" s="108"/>
      <c r="AI9" s="108"/>
      <c r="AJ9" s="108"/>
      <c r="AK9" s="70">
        <f t="shared" si="6"/>
        <v>0</v>
      </c>
      <c r="AL9" s="71"/>
      <c r="AM9" s="48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</row>
    <row r="10" spans="1:115" ht="15" customHeight="1" x14ac:dyDescent="0.3">
      <c r="A10" s="65"/>
      <c r="B10" s="109"/>
      <c r="C10" s="110"/>
      <c r="D10" s="110"/>
      <c r="E10" s="111"/>
      <c r="F10" s="85"/>
      <c r="G10" s="86"/>
      <c r="H10" s="86"/>
      <c r="I10" s="86"/>
      <c r="J10" s="86"/>
      <c r="K10" s="86"/>
      <c r="L10" s="86"/>
      <c r="M10" s="86"/>
      <c r="N10" s="86"/>
      <c r="O10" s="86"/>
      <c r="P10" s="86"/>
      <c r="Q10" s="67">
        <f t="shared" si="0"/>
        <v>0</v>
      </c>
      <c r="R10" s="67">
        <f t="shared" si="1"/>
        <v>0</v>
      </c>
      <c r="S10" s="86"/>
      <c r="T10" s="86"/>
      <c r="U10" s="86"/>
      <c r="V10" s="86"/>
      <c r="W10" s="66">
        <f t="shared" si="2"/>
        <v>0</v>
      </c>
      <c r="X10" s="97"/>
      <c r="Y10" s="68">
        <f t="shared" si="3"/>
        <v>0</v>
      </c>
      <c r="Z10" s="68">
        <f t="shared" si="4"/>
        <v>0</v>
      </c>
      <c r="AA10" s="72"/>
      <c r="AB10" s="68">
        <f t="shared" si="7"/>
        <v>0</v>
      </c>
      <c r="AC10" s="68">
        <f t="shared" si="8"/>
        <v>0</v>
      </c>
      <c r="AD10" s="68"/>
      <c r="AE10" s="55"/>
      <c r="AF10" s="69">
        <f t="shared" si="5"/>
        <v>0</v>
      </c>
      <c r="AG10" s="86"/>
      <c r="AH10" s="108"/>
      <c r="AI10" s="108"/>
      <c r="AJ10" s="108"/>
      <c r="AK10" s="70">
        <f t="shared" si="6"/>
        <v>0</v>
      </c>
      <c r="AL10" s="71"/>
      <c r="AM10" s="48"/>
      <c r="AN10" s="5"/>
      <c r="AO10" s="5"/>
      <c r="AP10" s="5"/>
      <c r="AQ10" s="5"/>
      <c r="AR10" s="7"/>
      <c r="AS10" s="7"/>
      <c r="AT10" s="7"/>
      <c r="AU10" s="7"/>
      <c r="AV10" s="7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</row>
    <row r="11" spans="1:115" s="42" customFormat="1" ht="15" customHeight="1" x14ac:dyDescent="0.3">
      <c r="A11" s="65"/>
      <c r="B11" s="109"/>
      <c r="C11" s="110"/>
      <c r="D11" s="110"/>
      <c r="E11" s="111"/>
      <c r="F11" s="93"/>
      <c r="G11" s="86"/>
      <c r="H11" s="86"/>
      <c r="I11" s="86"/>
      <c r="J11" s="86"/>
      <c r="K11" s="86"/>
      <c r="L11" s="86"/>
      <c r="M11" s="86"/>
      <c r="N11" s="86"/>
      <c r="O11" s="86"/>
      <c r="P11" s="86"/>
      <c r="Q11" s="67">
        <f t="shared" si="0"/>
        <v>0</v>
      </c>
      <c r="R11" s="67">
        <f t="shared" si="1"/>
        <v>0</v>
      </c>
      <c r="S11" s="86"/>
      <c r="T11" s="86"/>
      <c r="U11" s="86"/>
      <c r="V11" s="86"/>
      <c r="W11" s="66">
        <f t="shared" si="2"/>
        <v>0</v>
      </c>
      <c r="X11" s="99"/>
      <c r="Y11" s="68">
        <f t="shared" si="3"/>
        <v>0</v>
      </c>
      <c r="Z11" s="68">
        <f t="shared" si="4"/>
        <v>0</v>
      </c>
      <c r="AA11" s="72"/>
      <c r="AB11" s="68">
        <f t="shared" si="7"/>
        <v>0</v>
      </c>
      <c r="AC11" s="68">
        <f t="shared" si="8"/>
        <v>0</v>
      </c>
      <c r="AD11" s="68"/>
      <c r="AE11" s="55"/>
      <c r="AF11" s="69">
        <f t="shared" si="5"/>
        <v>0</v>
      </c>
      <c r="AG11" s="86"/>
      <c r="AH11" s="108"/>
      <c r="AI11" s="108"/>
      <c r="AJ11" s="108"/>
      <c r="AK11" s="70">
        <f t="shared" si="6"/>
        <v>0</v>
      </c>
      <c r="AL11" s="71"/>
      <c r="AM11" s="48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</row>
    <row r="12" spans="1:115" s="74" customFormat="1" ht="15" customHeight="1" x14ac:dyDescent="0.3">
      <c r="A12" s="65"/>
      <c r="B12" s="109"/>
      <c r="C12" s="110"/>
      <c r="D12" s="110"/>
      <c r="E12" s="111"/>
      <c r="F12" s="93"/>
      <c r="G12" s="86"/>
      <c r="H12" s="86"/>
      <c r="I12" s="86"/>
      <c r="J12" s="86"/>
      <c r="K12" s="86"/>
      <c r="L12" s="86"/>
      <c r="M12" s="86"/>
      <c r="N12" s="86"/>
      <c r="O12" s="86"/>
      <c r="P12" s="87"/>
      <c r="Q12" s="67">
        <f t="shared" si="0"/>
        <v>0</v>
      </c>
      <c r="R12" s="67">
        <f t="shared" si="1"/>
        <v>0</v>
      </c>
      <c r="S12" s="86"/>
      <c r="T12" s="86"/>
      <c r="U12" s="86"/>
      <c r="V12" s="86"/>
      <c r="W12" s="66">
        <f t="shared" si="2"/>
        <v>0</v>
      </c>
      <c r="X12" s="96"/>
      <c r="Y12" s="68">
        <f t="shared" si="3"/>
        <v>0</v>
      </c>
      <c r="Z12" s="68">
        <f t="shared" si="4"/>
        <v>0</v>
      </c>
      <c r="AA12" s="72"/>
      <c r="AB12" s="68">
        <f t="shared" si="7"/>
        <v>0</v>
      </c>
      <c r="AC12" s="68">
        <f t="shared" si="8"/>
        <v>0</v>
      </c>
      <c r="AD12" s="68"/>
      <c r="AE12" s="55"/>
      <c r="AF12" s="69">
        <f t="shared" si="5"/>
        <v>0</v>
      </c>
      <c r="AG12" s="86"/>
      <c r="AH12" s="108"/>
      <c r="AI12" s="108"/>
      <c r="AJ12" s="108"/>
      <c r="AK12" s="70">
        <f t="shared" si="6"/>
        <v>0</v>
      </c>
      <c r="AL12" s="71"/>
      <c r="AM12" s="48"/>
      <c r="AN12" s="5"/>
      <c r="AO12" s="5"/>
      <c r="AP12" s="5"/>
      <c r="AQ12" s="5"/>
      <c r="AR12" s="7"/>
      <c r="AS12" s="7"/>
      <c r="AT12" s="7"/>
      <c r="AU12" s="7"/>
      <c r="AV12" s="7"/>
      <c r="AW12"/>
      <c r="AX12"/>
      <c r="AY12"/>
      <c r="AZ12"/>
      <c r="BA12"/>
      <c r="BB12"/>
      <c r="BC12"/>
      <c r="BD12"/>
      <c r="BE12"/>
      <c r="BF12"/>
      <c r="BG12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</row>
    <row r="13" spans="1:115" s="42" customFormat="1" ht="15" customHeight="1" x14ac:dyDescent="0.3">
      <c r="A13" s="65"/>
      <c r="B13" s="109"/>
      <c r="C13" s="110"/>
      <c r="D13" s="110"/>
      <c r="E13" s="111"/>
      <c r="F13" s="93"/>
      <c r="G13" s="86"/>
      <c r="H13" s="86"/>
      <c r="I13" s="86"/>
      <c r="J13" s="86"/>
      <c r="K13" s="86"/>
      <c r="L13" s="86"/>
      <c r="M13" s="86"/>
      <c r="N13" s="86"/>
      <c r="O13" s="86"/>
      <c r="P13" s="86"/>
      <c r="Q13" s="67">
        <f t="shared" si="0"/>
        <v>0</v>
      </c>
      <c r="R13" s="67">
        <f t="shared" si="1"/>
        <v>0</v>
      </c>
      <c r="S13" s="86"/>
      <c r="T13" s="86"/>
      <c r="U13" s="86"/>
      <c r="V13" s="86"/>
      <c r="W13" s="66">
        <f t="shared" si="2"/>
        <v>0</v>
      </c>
      <c r="X13" s="96"/>
      <c r="Y13" s="68">
        <f t="shared" si="3"/>
        <v>0</v>
      </c>
      <c r="Z13" s="68">
        <f t="shared" si="4"/>
        <v>0</v>
      </c>
      <c r="AA13" s="72"/>
      <c r="AB13" s="68">
        <f t="shared" si="7"/>
        <v>0</v>
      </c>
      <c r="AC13" s="68">
        <f t="shared" si="8"/>
        <v>0</v>
      </c>
      <c r="AD13" s="68"/>
      <c r="AE13" s="55"/>
      <c r="AF13" s="69">
        <f t="shared" si="5"/>
        <v>0</v>
      </c>
      <c r="AG13" s="86"/>
      <c r="AH13" s="108"/>
      <c r="AI13" s="108"/>
      <c r="AJ13" s="108"/>
      <c r="AK13" s="70">
        <f t="shared" si="6"/>
        <v>0</v>
      </c>
      <c r="AL13" s="71"/>
      <c r="AM13" s="48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</row>
    <row r="14" spans="1:115" ht="15" customHeight="1" x14ac:dyDescent="0.3">
      <c r="A14" s="65"/>
      <c r="B14" s="109"/>
      <c r="C14" s="110"/>
      <c r="D14" s="110"/>
      <c r="E14" s="111"/>
      <c r="F14" s="88"/>
      <c r="G14" s="86"/>
      <c r="H14" s="86"/>
      <c r="I14" s="86"/>
      <c r="J14" s="86"/>
      <c r="K14" s="86"/>
      <c r="L14" s="86"/>
      <c r="M14" s="86"/>
      <c r="N14" s="86"/>
      <c r="O14" s="86"/>
      <c r="P14" s="86"/>
      <c r="Q14" s="67">
        <f t="shared" si="0"/>
        <v>0</v>
      </c>
      <c r="R14" s="67">
        <f t="shared" si="1"/>
        <v>0</v>
      </c>
      <c r="S14" s="86"/>
      <c r="T14" s="86"/>
      <c r="U14" s="86"/>
      <c r="V14" s="86"/>
      <c r="W14" s="66">
        <f t="shared" si="2"/>
        <v>0</v>
      </c>
      <c r="X14" s="97"/>
      <c r="Y14" s="68">
        <f t="shared" si="3"/>
        <v>0</v>
      </c>
      <c r="Z14" s="68">
        <f t="shared" si="4"/>
        <v>0</v>
      </c>
      <c r="AA14" s="72"/>
      <c r="AB14" s="68">
        <f t="shared" si="7"/>
        <v>0</v>
      </c>
      <c r="AC14" s="68">
        <f t="shared" si="8"/>
        <v>0</v>
      </c>
      <c r="AD14" s="68"/>
      <c r="AE14" s="55"/>
      <c r="AF14" s="69">
        <f t="shared" si="5"/>
        <v>0</v>
      </c>
      <c r="AG14" s="86"/>
      <c r="AH14" s="108"/>
      <c r="AI14" s="108"/>
      <c r="AJ14" s="108"/>
      <c r="AK14" s="70">
        <f t="shared" si="6"/>
        <v>0</v>
      </c>
      <c r="AL14" s="71"/>
      <c r="AM14" s="48"/>
      <c r="AN14" s="5"/>
      <c r="AO14" s="5"/>
      <c r="AP14" s="5"/>
      <c r="AQ14" s="5"/>
      <c r="AR14" s="7"/>
      <c r="AS14" s="7"/>
      <c r="AT14" s="7"/>
      <c r="AU14" s="7"/>
      <c r="AV14" s="7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</row>
    <row r="15" spans="1:115" ht="15" customHeight="1" x14ac:dyDescent="0.3">
      <c r="A15" s="65"/>
      <c r="B15" s="109"/>
      <c r="C15" s="110"/>
      <c r="D15" s="110"/>
      <c r="E15" s="111"/>
      <c r="F15" s="85"/>
      <c r="G15" s="86"/>
      <c r="H15" s="86"/>
      <c r="I15" s="86"/>
      <c r="J15" s="86"/>
      <c r="K15" s="86"/>
      <c r="L15" s="86"/>
      <c r="M15" s="86"/>
      <c r="N15" s="86"/>
      <c r="O15" s="86"/>
      <c r="P15" s="86"/>
      <c r="Q15" s="67">
        <f t="shared" si="0"/>
        <v>0</v>
      </c>
      <c r="R15" s="67">
        <f t="shared" si="1"/>
        <v>0</v>
      </c>
      <c r="S15" s="86"/>
      <c r="T15" s="86"/>
      <c r="U15" s="86"/>
      <c r="V15" s="86"/>
      <c r="W15" s="66">
        <f t="shared" si="2"/>
        <v>0</v>
      </c>
      <c r="X15" s="97"/>
      <c r="Y15" s="68">
        <f t="shared" si="3"/>
        <v>0</v>
      </c>
      <c r="Z15" s="68">
        <f t="shared" si="4"/>
        <v>0</v>
      </c>
      <c r="AA15" s="72"/>
      <c r="AB15" s="68">
        <f t="shared" si="7"/>
        <v>0</v>
      </c>
      <c r="AC15" s="68">
        <f t="shared" si="8"/>
        <v>0</v>
      </c>
      <c r="AD15" s="68"/>
      <c r="AE15" s="55"/>
      <c r="AF15" s="69">
        <f t="shared" si="5"/>
        <v>0</v>
      </c>
      <c r="AG15" s="86"/>
      <c r="AH15" s="108"/>
      <c r="AI15" s="108"/>
      <c r="AJ15" s="108"/>
      <c r="AK15" s="70">
        <f t="shared" si="6"/>
        <v>0</v>
      </c>
      <c r="AL15" s="71"/>
      <c r="AM15" s="48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</row>
    <row r="16" spans="1:115" s="74" customFormat="1" ht="15" customHeight="1" x14ac:dyDescent="0.3">
      <c r="A16" s="65"/>
      <c r="B16" s="109"/>
      <c r="C16" s="110"/>
      <c r="D16" s="110"/>
      <c r="E16" s="111"/>
      <c r="F16" s="93"/>
      <c r="G16" s="86"/>
      <c r="H16" s="86"/>
      <c r="I16" s="86"/>
      <c r="J16" s="86"/>
      <c r="K16" s="86"/>
      <c r="L16" s="86"/>
      <c r="M16" s="86"/>
      <c r="N16" s="86"/>
      <c r="O16" s="86"/>
      <c r="P16" s="87"/>
      <c r="Q16" s="67">
        <f t="shared" si="0"/>
        <v>0</v>
      </c>
      <c r="R16" s="67">
        <f t="shared" si="1"/>
        <v>0</v>
      </c>
      <c r="S16" s="86"/>
      <c r="T16" s="86"/>
      <c r="U16" s="86"/>
      <c r="V16" s="86"/>
      <c r="W16" s="66">
        <f t="shared" si="2"/>
        <v>0</v>
      </c>
      <c r="X16" s="99"/>
      <c r="Y16" s="68">
        <f t="shared" si="3"/>
        <v>0</v>
      </c>
      <c r="Z16" s="68">
        <f t="shared" si="4"/>
        <v>0</v>
      </c>
      <c r="AA16" s="72"/>
      <c r="AB16" s="68">
        <f t="shared" si="7"/>
        <v>0</v>
      </c>
      <c r="AC16" s="68">
        <f t="shared" si="8"/>
        <v>0</v>
      </c>
      <c r="AD16" s="68"/>
      <c r="AE16" s="55"/>
      <c r="AF16" s="69">
        <f t="shared" si="5"/>
        <v>0</v>
      </c>
      <c r="AG16" s="86"/>
      <c r="AH16" s="108"/>
      <c r="AI16" s="108"/>
      <c r="AJ16" s="108"/>
      <c r="AK16" s="70">
        <f t="shared" si="6"/>
        <v>0</v>
      </c>
      <c r="AL16" s="71"/>
      <c r="AM16" s="48"/>
      <c r="AN16" s="5"/>
      <c r="AO16" s="5"/>
      <c r="AP16" s="5"/>
      <c r="AQ16" s="5"/>
      <c r="AR16" s="7"/>
      <c r="AS16" s="7"/>
      <c r="AT16" s="7"/>
      <c r="AU16" s="7"/>
      <c r="AV16" s="7"/>
      <c r="AW16"/>
      <c r="AX16"/>
      <c r="AY16"/>
      <c r="AZ16"/>
      <c r="BA16"/>
      <c r="BB16"/>
      <c r="BC16"/>
      <c r="BD16"/>
      <c r="BE16"/>
      <c r="BF16"/>
      <c r="BG16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</row>
    <row r="17" spans="1:115" ht="15" customHeight="1" x14ac:dyDescent="0.3">
      <c r="A17" s="65"/>
      <c r="B17" s="109"/>
      <c r="C17" s="110"/>
      <c r="D17" s="110"/>
      <c r="E17" s="111"/>
      <c r="F17" s="85"/>
      <c r="G17" s="86"/>
      <c r="H17" s="86"/>
      <c r="I17" s="86"/>
      <c r="J17" s="86"/>
      <c r="K17" s="86"/>
      <c r="L17" s="86"/>
      <c r="M17" s="86"/>
      <c r="N17" s="86"/>
      <c r="O17" s="86"/>
      <c r="P17" s="87"/>
      <c r="Q17" s="67">
        <f t="shared" si="0"/>
        <v>0</v>
      </c>
      <c r="R17" s="67">
        <f t="shared" si="1"/>
        <v>0</v>
      </c>
      <c r="S17" s="86"/>
      <c r="T17" s="86"/>
      <c r="U17" s="86"/>
      <c r="V17" s="86"/>
      <c r="W17" s="66">
        <f>G17+I17+K17+M17+O17+R17+S17+T17+U17+V17</f>
        <v>0</v>
      </c>
      <c r="X17" s="100"/>
      <c r="Y17" s="68">
        <f t="shared" si="3"/>
        <v>0</v>
      </c>
      <c r="Z17" s="68">
        <f t="shared" si="4"/>
        <v>0</v>
      </c>
      <c r="AA17" s="72"/>
      <c r="AB17" s="68">
        <f t="shared" si="7"/>
        <v>0</v>
      </c>
      <c r="AC17" s="68">
        <f t="shared" si="8"/>
        <v>0</v>
      </c>
      <c r="AD17" s="68"/>
      <c r="AE17" s="55"/>
      <c r="AF17" s="69">
        <f t="shared" si="5"/>
        <v>0</v>
      </c>
      <c r="AG17" s="86"/>
      <c r="AH17" s="108"/>
      <c r="AI17" s="108"/>
      <c r="AJ17" s="108"/>
      <c r="AK17" s="70">
        <f t="shared" si="6"/>
        <v>0</v>
      </c>
      <c r="AL17" s="71"/>
      <c r="AM17" s="48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</row>
    <row r="18" spans="1:115" ht="15" customHeight="1" x14ac:dyDescent="0.3">
      <c r="A18" s="65"/>
      <c r="B18" s="109"/>
      <c r="C18" s="110"/>
      <c r="D18" s="110"/>
      <c r="E18" s="111"/>
      <c r="F18" s="88"/>
      <c r="G18" s="86"/>
      <c r="H18" s="86"/>
      <c r="I18" s="86"/>
      <c r="J18" s="86"/>
      <c r="K18" s="86"/>
      <c r="L18" s="86"/>
      <c r="M18" s="86"/>
      <c r="N18" s="86"/>
      <c r="O18" s="86"/>
      <c r="P18" s="89"/>
      <c r="Q18" s="67">
        <f t="shared" si="0"/>
        <v>0</v>
      </c>
      <c r="R18" s="67">
        <f t="shared" si="1"/>
        <v>0</v>
      </c>
      <c r="S18" s="86"/>
      <c r="T18" s="86"/>
      <c r="U18" s="86"/>
      <c r="V18" s="86"/>
      <c r="W18" s="66">
        <f t="shared" si="2"/>
        <v>0</v>
      </c>
      <c r="X18" s="96"/>
      <c r="Y18" s="68">
        <f t="shared" si="3"/>
        <v>0</v>
      </c>
      <c r="Z18" s="68">
        <f t="shared" si="4"/>
        <v>0</v>
      </c>
      <c r="AA18" s="72"/>
      <c r="AB18" s="68">
        <f t="shared" si="7"/>
        <v>0</v>
      </c>
      <c r="AC18" s="68">
        <f t="shared" si="8"/>
        <v>0</v>
      </c>
      <c r="AD18" s="68"/>
      <c r="AE18" s="55"/>
      <c r="AF18" s="69">
        <f t="shared" si="5"/>
        <v>0</v>
      </c>
      <c r="AG18" s="86"/>
      <c r="AH18" s="108"/>
      <c r="AI18" s="108"/>
      <c r="AJ18" s="108"/>
      <c r="AK18" s="70">
        <f t="shared" si="6"/>
        <v>0</v>
      </c>
      <c r="AL18" s="71"/>
      <c r="AM18" s="48"/>
      <c r="AN18" s="5"/>
      <c r="AO18" s="5"/>
      <c r="AP18" s="5"/>
      <c r="AQ18" s="5"/>
      <c r="AR18" s="7"/>
      <c r="AS18" s="7"/>
      <c r="AT18" s="7"/>
      <c r="AU18" s="7"/>
      <c r="AV18" s="7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</row>
    <row r="19" spans="1:115" ht="15" customHeight="1" x14ac:dyDescent="0.3">
      <c r="A19" s="65"/>
      <c r="B19" s="109"/>
      <c r="C19" s="110"/>
      <c r="D19" s="110"/>
      <c r="E19" s="111"/>
      <c r="F19" s="88" t="s">
        <v>51</v>
      </c>
      <c r="G19" s="86"/>
      <c r="H19" s="86"/>
      <c r="I19" s="86"/>
      <c r="J19" s="86"/>
      <c r="K19" s="86"/>
      <c r="L19" s="86"/>
      <c r="M19" s="86"/>
      <c r="N19" s="86"/>
      <c r="O19" s="86"/>
      <c r="P19" s="86"/>
      <c r="Q19" s="67">
        <f t="shared" si="0"/>
        <v>0</v>
      </c>
      <c r="R19" s="67">
        <f t="shared" si="1"/>
        <v>0</v>
      </c>
      <c r="S19" s="86"/>
      <c r="T19" s="86"/>
      <c r="U19" s="86"/>
      <c r="V19" s="86"/>
      <c r="W19" s="66">
        <f t="shared" si="2"/>
        <v>0</v>
      </c>
      <c r="X19" s="97"/>
      <c r="Y19" s="68">
        <f t="shared" si="3"/>
        <v>0</v>
      </c>
      <c r="Z19" s="68">
        <f t="shared" si="4"/>
        <v>0</v>
      </c>
      <c r="AA19" s="72"/>
      <c r="AB19" s="68">
        <f t="shared" si="7"/>
        <v>0</v>
      </c>
      <c r="AC19" s="68">
        <f t="shared" si="8"/>
        <v>0</v>
      </c>
      <c r="AD19" s="68"/>
      <c r="AE19" s="55"/>
      <c r="AF19" s="69">
        <f t="shared" si="5"/>
        <v>0</v>
      </c>
      <c r="AG19" s="86"/>
      <c r="AH19" s="108"/>
      <c r="AI19" s="108"/>
      <c r="AJ19" s="108"/>
      <c r="AK19" s="70">
        <f t="shared" si="6"/>
        <v>0</v>
      </c>
      <c r="AL19" s="71"/>
      <c r="AM19" s="48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</row>
    <row r="20" spans="1:115" ht="15" customHeight="1" x14ac:dyDescent="0.3">
      <c r="A20" s="65"/>
      <c r="B20" s="109"/>
      <c r="C20" s="110"/>
      <c r="D20" s="110"/>
      <c r="E20" s="111"/>
      <c r="F20" s="85"/>
      <c r="G20" s="86"/>
      <c r="H20" s="86"/>
      <c r="I20" s="86"/>
      <c r="J20" s="86"/>
      <c r="K20" s="86"/>
      <c r="L20" s="86"/>
      <c r="M20" s="86"/>
      <c r="N20" s="86"/>
      <c r="O20" s="86"/>
      <c r="P20" s="86"/>
      <c r="Q20" s="67">
        <f t="shared" si="0"/>
        <v>0</v>
      </c>
      <c r="R20" s="67">
        <f t="shared" si="1"/>
        <v>0</v>
      </c>
      <c r="S20" s="86"/>
      <c r="T20" s="86"/>
      <c r="U20" s="86"/>
      <c r="V20" s="86"/>
      <c r="W20" s="66">
        <f t="shared" si="2"/>
        <v>0</v>
      </c>
      <c r="X20" s="98"/>
      <c r="Y20" s="68">
        <f t="shared" si="3"/>
        <v>0</v>
      </c>
      <c r="Z20" s="68">
        <f t="shared" si="4"/>
        <v>0</v>
      </c>
      <c r="AA20" s="72"/>
      <c r="AB20" s="68">
        <f t="shared" si="7"/>
        <v>0</v>
      </c>
      <c r="AC20" s="68">
        <f t="shared" si="8"/>
        <v>0</v>
      </c>
      <c r="AD20" s="68"/>
      <c r="AE20" s="55"/>
      <c r="AF20" s="69">
        <f t="shared" si="5"/>
        <v>0</v>
      </c>
      <c r="AG20" s="86"/>
      <c r="AH20" s="108"/>
      <c r="AI20" s="108"/>
      <c r="AJ20" s="108"/>
      <c r="AK20" s="70">
        <f t="shared" si="6"/>
        <v>0</v>
      </c>
      <c r="AL20" s="71"/>
      <c r="AM20" s="48"/>
      <c r="AN20" s="5"/>
      <c r="AO20" s="5"/>
      <c r="AP20" s="5"/>
      <c r="AQ20" s="5"/>
      <c r="AR20" s="7"/>
      <c r="AS20" s="7"/>
      <c r="AT20" s="7"/>
      <c r="AU20" s="7"/>
      <c r="AV20" s="7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</row>
    <row r="21" spans="1:115" s="42" customFormat="1" ht="15" customHeight="1" x14ac:dyDescent="0.3">
      <c r="A21" s="65"/>
      <c r="B21" s="109"/>
      <c r="C21" s="110"/>
      <c r="D21" s="110"/>
      <c r="E21" s="111"/>
      <c r="F21" s="85"/>
      <c r="G21" s="86"/>
      <c r="H21" s="86"/>
      <c r="I21" s="86"/>
      <c r="J21" s="86"/>
      <c r="K21" s="86"/>
      <c r="L21" s="86"/>
      <c r="M21" s="86"/>
      <c r="N21" s="86"/>
      <c r="O21" s="86"/>
      <c r="P21" s="87"/>
      <c r="Q21" s="67">
        <f t="shared" si="0"/>
        <v>0</v>
      </c>
      <c r="R21" s="67">
        <f t="shared" si="1"/>
        <v>0</v>
      </c>
      <c r="S21" s="86"/>
      <c r="T21" s="86"/>
      <c r="U21" s="86"/>
      <c r="V21" s="86"/>
      <c r="W21" s="66">
        <f t="shared" si="2"/>
        <v>0</v>
      </c>
      <c r="X21" s="99"/>
      <c r="Y21" s="68">
        <f t="shared" si="3"/>
        <v>0</v>
      </c>
      <c r="Z21" s="68">
        <f t="shared" si="4"/>
        <v>0</v>
      </c>
      <c r="AA21" s="72"/>
      <c r="AB21" s="68">
        <f t="shared" si="7"/>
        <v>0</v>
      </c>
      <c r="AC21" s="68">
        <f t="shared" si="8"/>
        <v>0</v>
      </c>
      <c r="AD21" s="68"/>
      <c r="AE21" s="55"/>
      <c r="AF21" s="69">
        <f t="shared" si="5"/>
        <v>0</v>
      </c>
      <c r="AG21" s="86"/>
      <c r="AH21" s="108"/>
      <c r="AI21" s="108"/>
      <c r="AJ21" s="108"/>
      <c r="AK21" s="70">
        <f t="shared" si="6"/>
        <v>0</v>
      </c>
      <c r="AL21" s="71"/>
      <c r="AM21" s="48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</row>
    <row r="22" spans="1:115" ht="15" customHeight="1" x14ac:dyDescent="0.3">
      <c r="A22" s="65"/>
      <c r="B22" s="109"/>
      <c r="C22" s="110"/>
      <c r="D22" s="110"/>
      <c r="E22" s="111"/>
      <c r="F22" s="85"/>
      <c r="G22" s="86"/>
      <c r="H22" s="86"/>
      <c r="I22" s="86"/>
      <c r="J22" s="86"/>
      <c r="K22" s="86"/>
      <c r="L22" s="86"/>
      <c r="M22" s="86"/>
      <c r="N22" s="86"/>
      <c r="O22" s="86"/>
      <c r="P22" s="86"/>
      <c r="Q22" s="67">
        <f t="shared" si="0"/>
        <v>0</v>
      </c>
      <c r="R22" s="67">
        <f t="shared" si="1"/>
        <v>0</v>
      </c>
      <c r="S22" s="86"/>
      <c r="T22" s="86"/>
      <c r="U22" s="86"/>
      <c r="V22" s="86"/>
      <c r="W22" s="66">
        <f t="shared" si="2"/>
        <v>0</v>
      </c>
      <c r="X22" s="98"/>
      <c r="Y22" s="68">
        <f t="shared" si="3"/>
        <v>0</v>
      </c>
      <c r="Z22" s="68">
        <f t="shared" si="4"/>
        <v>0</v>
      </c>
      <c r="AA22" s="72"/>
      <c r="AB22" s="68">
        <f t="shared" si="7"/>
        <v>0</v>
      </c>
      <c r="AC22" s="68">
        <f t="shared" si="8"/>
        <v>0</v>
      </c>
      <c r="AD22" s="68"/>
      <c r="AE22" s="55"/>
      <c r="AF22" s="69">
        <f t="shared" si="5"/>
        <v>0</v>
      </c>
      <c r="AG22" s="86"/>
      <c r="AH22" s="108"/>
      <c r="AI22" s="108"/>
      <c r="AJ22" s="108"/>
      <c r="AK22" s="70">
        <f t="shared" si="6"/>
        <v>0</v>
      </c>
      <c r="AL22" s="71"/>
      <c r="AM22" s="48"/>
      <c r="AN22" s="5"/>
      <c r="AO22" s="5"/>
      <c r="AP22" s="5"/>
      <c r="AQ22" s="5"/>
      <c r="AR22" s="7"/>
      <c r="AS22" s="7"/>
      <c r="AT22" s="7"/>
      <c r="AU22" s="7"/>
      <c r="AV22" s="7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</row>
    <row r="23" spans="1:115" ht="15" customHeight="1" x14ac:dyDescent="0.3">
      <c r="A23" s="65"/>
      <c r="B23" s="109"/>
      <c r="C23" s="110"/>
      <c r="D23" s="110"/>
      <c r="E23" s="111"/>
      <c r="F23" s="85"/>
      <c r="G23" s="86"/>
      <c r="H23" s="86"/>
      <c r="I23" s="86"/>
      <c r="J23" s="86"/>
      <c r="K23" s="86"/>
      <c r="L23" s="86"/>
      <c r="M23" s="86"/>
      <c r="N23" s="86"/>
      <c r="O23" s="86"/>
      <c r="P23" s="86"/>
      <c r="Q23" s="67">
        <f t="shared" si="0"/>
        <v>0</v>
      </c>
      <c r="R23" s="67">
        <f t="shared" si="1"/>
        <v>0</v>
      </c>
      <c r="S23" s="86"/>
      <c r="T23" s="86"/>
      <c r="U23" s="86"/>
      <c r="V23" s="86"/>
      <c r="W23" s="66">
        <f t="shared" si="2"/>
        <v>0</v>
      </c>
      <c r="X23" s="98"/>
      <c r="Y23" s="68">
        <f t="shared" si="3"/>
        <v>0</v>
      </c>
      <c r="Z23" s="68">
        <f t="shared" si="4"/>
        <v>0</v>
      </c>
      <c r="AA23" s="72"/>
      <c r="AB23" s="68">
        <f t="shared" si="7"/>
        <v>0</v>
      </c>
      <c r="AC23" s="68">
        <f t="shared" si="8"/>
        <v>0</v>
      </c>
      <c r="AD23" s="68"/>
      <c r="AE23" s="55"/>
      <c r="AF23" s="69">
        <f t="shared" si="5"/>
        <v>0</v>
      </c>
      <c r="AG23" s="86"/>
      <c r="AH23" s="108"/>
      <c r="AI23" s="108"/>
      <c r="AJ23" s="108"/>
      <c r="AK23" s="70">
        <f t="shared" si="6"/>
        <v>0</v>
      </c>
      <c r="AL23" s="71"/>
      <c r="AM23" s="48"/>
      <c r="AN23" s="5"/>
      <c r="AO23" s="5"/>
      <c r="AP23" s="5"/>
      <c r="AQ23" s="5"/>
      <c r="AR23" s="7"/>
      <c r="AS23" s="7"/>
      <c r="AT23" s="7"/>
      <c r="AU23" s="7"/>
      <c r="AV23" s="7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</row>
    <row r="24" spans="1:115" ht="15" customHeight="1" x14ac:dyDescent="0.3">
      <c r="A24" s="65"/>
      <c r="B24" s="109"/>
      <c r="C24" s="110"/>
      <c r="D24" s="110"/>
      <c r="E24" s="111"/>
      <c r="F24" s="85"/>
      <c r="G24" s="86"/>
      <c r="H24" s="86"/>
      <c r="I24" s="86"/>
      <c r="J24" s="86"/>
      <c r="K24" s="86"/>
      <c r="L24" s="86"/>
      <c r="M24" s="86"/>
      <c r="N24" s="86"/>
      <c r="O24" s="86"/>
      <c r="P24" s="86"/>
      <c r="Q24" s="67">
        <f t="shared" si="0"/>
        <v>0</v>
      </c>
      <c r="R24" s="67">
        <f t="shared" si="1"/>
        <v>0</v>
      </c>
      <c r="S24" s="86"/>
      <c r="T24" s="86"/>
      <c r="U24" s="86"/>
      <c r="V24" s="86"/>
      <c r="W24" s="66">
        <f t="shared" si="2"/>
        <v>0</v>
      </c>
      <c r="X24" s="98"/>
      <c r="Y24" s="68">
        <f t="shared" si="3"/>
        <v>0</v>
      </c>
      <c r="Z24" s="68">
        <f t="shared" si="4"/>
        <v>0</v>
      </c>
      <c r="AA24" s="72"/>
      <c r="AB24" s="68">
        <f t="shared" si="7"/>
        <v>0</v>
      </c>
      <c r="AC24" s="68">
        <f t="shared" si="8"/>
        <v>0</v>
      </c>
      <c r="AD24" s="68"/>
      <c r="AE24" s="55"/>
      <c r="AF24" s="69">
        <f t="shared" si="5"/>
        <v>0</v>
      </c>
      <c r="AG24" s="86"/>
      <c r="AH24" s="108"/>
      <c r="AI24" s="108"/>
      <c r="AJ24" s="108"/>
      <c r="AK24" s="70">
        <f t="shared" si="6"/>
        <v>0</v>
      </c>
      <c r="AL24" s="71"/>
      <c r="AM24" s="48"/>
      <c r="AN24" s="5"/>
      <c r="AO24" s="5"/>
      <c r="AP24" s="5"/>
      <c r="AQ24" s="5"/>
      <c r="AR24" s="7"/>
      <c r="AS24" s="7"/>
      <c r="AT24" s="7"/>
      <c r="AU24" s="7"/>
      <c r="AV24" s="7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</row>
    <row r="25" spans="1:115" ht="15" customHeight="1" x14ac:dyDescent="0.3">
      <c r="A25" s="65"/>
      <c r="B25" s="109"/>
      <c r="C25" s="110"/>
      <c r="D25" s="110"/>
      <c r="E25" s="111"/>
      <c r="F25" s="85"/>
      <c r="G25" s="86"/>
      <c r="H25" s="86"/>
      <c r="I25" s="86"/>
      <c r="J25" s="86"/>
      <c r="K25" s="86"/>
      <c r="L25" s="86"/>
      <c r="M25" s="86"/>
      <c r="N25" s="86"/>
      <c r="O25" s="86"/>
      <c r="P25" s="86"/>
      <c r="Q25" s="67">
        <f t="shared" si="0"/>
        <v>0</v>
      </c>
      <c r="R25" s="67">
        <f t="shared" si="1"/>
        <v>0</v>
      </c>
      <c r="S25" s="86"/>
      <c r="T25" s="86"/>
      <c r="U25" s="86"/>
      <c r="V25" s="86"/>
      <c r="W25" s="66">
        <f t="shared" si="2"/>
        <v>0</v>
      </c>
      <c r="X25" s="98"/>
      <c r="Y25" s="68">
        <f t="shared" si="3"/>
        <v>0</v>
      </c>
      <c r="Z25" s="68">
        <f t="shared" si="4"/>
        <v>0</v>
      </c>
      <c r="AA25" s="72"/>
      <c r="AB25" s="68">
        <f t="shared" si="7"/>
        <v>0</v>
      </c>
      <c r="AC25" s="68">
        <f t="shared" si="8"/>
        <v>0</v>
      </c>
      <c r="AD25" s="68"/>
      <c r="AE25" s="55"/>
      <c r="AF25" s="69">
        <f t="shared" si="5"/>
        <v>0</v>
      </c>
      <c r="AG25" s="86"/>
      <c r="AH25" s="108"/>
      <c r="AI25" s="108"/>
      <c r="AJ25" s="108"/>
      <c r="AK25" s="70">
        <f t="shared" si="6"/>
        <v>0</v>
      </c>
      <c r="AL25" s="71"/>
      <c r="AM25" s="48"/>
      <c r="AN25" s="5"/>
      <c r="AO25" s="5"/>
      <c r="AP25" s="5"/>
      <c r="AQ25" s="5"/>
      <c r="AR25" s="7"/>
      <c r="AS25" s="7"/>
      <c r="AT25" s="7"/>
      <c r="AU25" s="7"/>
      <c r="AV25" s="7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</row>
    <row r="26" spans="1:115" ht="15" customHeight="1" x14ac:dyDescent="0.3">
      <c r="A26" s="65"/>
      <c r="B26" s="109"/>
      <c r="C26" s="110"/>
      <c r="D26" s="110"/>
      <c r="E26" s="111"/>
      <c r="F26" s="85"/>
      <c r="G26" s="86"/>
      <c r="H26" s="86"/>
      <c r="I26" s="86"/>
      <c r="J26" s="86"/>
      <c r="K26" s="86"/>
      <c r="L26" s="86"/>
      <c r="M26" s="86"/>
      <c r="N26" s="86"/>
      <c r="O26" s="86"/>
      <c r="P26" s="86"/>
      <c r="Q26" s="67">
        <f t="shared" si="0"/>
        <v>0</v>
      </c>
      <c r="R26" s="67">
        <f t="shared" si="1"/>
        <v>0</v>
      </c>
      <c r="S26" s="86"/>
      <c r="T26" s="86"/>
      <c r="U26" s="86"/>
      <c r="V26" s="86"/>
      <c r="W26" s="66">
        <f t="shared" si="2"/>
        <v>0</v>
      </c>
      <c r="X26" s="98"/>
      <c r="Y26" s="68">
        <f t="shared" si="3"/>
        <v>0</v>
      </c>
      <c r="Z26" s="68">
        <f t="shared" si="4"/>
        <v>0</v>
      </c>
      <c r="AA26" s="72"/>
      <c r="AB26" s="68">
        <f t="shared" si="7"/>
        <v>0</v>
      </c>
      <c r="AC26" s="68">
        <f t="shared" si="8"/>
        <v>0</v>
      </c>
      <c r="AD26" s="68"/>
      <c r="AE26" s="55"/>
      <c r="AF26" s="69">
        <f t="shared" si="5"/>
        <v>0</v>
      </c>
      <c r="AG26" s="86"/>
      <c r="AH26" s="108"/>
      <c r="AI26" s="108"/>
      <c r="AJ26" s="108"/>
      <c r="AK26" s="70">
        <f t="shared" si="6"/>
        <v>0</v>
      </c>
      <c r="AL26" s="71"/>
      <c r="AM26" s="48"/>
      <c r="AN26" s="5"/>
      <c r="AO26" s="5"/>
      <c r="AP26" s="5"/>
      <c r="AQ26" s="5"/>
      <c r="AR26" s="7"/>
      <c r="AS26" s="7"/>
      <c r="AT26" s="7"/>
      <c r="AU26" s="7"/>
      <c r="AV26" s="7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</row>
    <row r="27" spans="1:115" ht="15" customHeight="1" x14ac:dyDescent="0.3">
      <c r="A27" s="65"/>
      <c r="B27" s="109"/>
      <c r="C27" s="110"/>
      <c r="D27" s="110"/>
      <c r="E27" s="111"/>
      <c r="F27" s="85"/>
      <c r="G27" s="86"/>
      <c r="H27" s="86"/>
      <c r="I27" s="86"/>
      <c r="J27" s="86"/>
      <c r="K27" s="86"/>
      <c r="L27" s="86"/>
      <c r="M27" s="86"/>
      <c r="N27" s="86"/>
      <c r="O27" s="86"/>
      <c r="P27" s="86"/>
      <c r="Q27" s="67">
        <f t="shared" si="0"/>
        <v>0</v>
      </c>
      <c r="R27" s="67">
        <f t="shared" si="1"/>
        <v>0</v>
      </c>
      <c r="S27" s="86"/>
      <c r="T27" s="86"/>
      <c r="U27" s="86"/>
      <c r="V27" s="86"/>
      <c r="W27" s="66">
        <f t="shared" si="2"/>
        <v>0</v>
      </c>
      <c r="X27" s="98"/>
      <c r="Y27" s="68">
        <f t="shared" si="3"/>
        <v>0</v>
      </c>
      <c r="Z27" s="68">
        <f t="shared" si="4"/>
        <v>0</v>
      </c>
      <c r="AA27" s="72"/>
      <c r="AB27" s="68">
        <f t="shared" si="7"/>
        <v>0</v>
      </c>
      <c r="AC27" s="68">
        <f t="shared" si="8"/>
        <v>0</v>
      </c>
      <c r="AD27" s="68"/>
      <c r="AE27" s="55"/>
      <c r="AF27" s="69">
        <f t="shared" si="5"/>
        <v>0</v>
      </c>
      <c r="AG27" s="86"/>
      <c r="AH27" s="108"/>
      <c r="AI27" s="108"/>
      <c r="AJ27" s="108"/>
      <c r="AK27" s="70">
        <f t="shared" si="6"/>
        <v>0</v>
      </c>
      <c r="AL27" s="71"/>
      <c r="AM27" s="48"/>
      <c r="AN27" s="5"/>
      <c r="AO27" s="5"/>
      <c r="AP27" s="5"/>
      <c r="AQ27" s="5"/>
      <c r="AR27" s="7"/>
      <c r="AS27" s="7"/>
      <c r="AT27" s="7"/>
      <c r="AU27" s="7"/>
      <c r="AV27" s="7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</row>
    <row r="28" spans="1:115" ht="15" customHeight="1" x14ac:dyDescent="0.3">
      <c r="A28" s="65"/>
      <c r="B28" s="109"/>
      <c r="C28" s="110"/>
      <c r="D28" s="110"/>
      <c r="E28" s="111"/>
      <c r="F28" s="85"/>
      <c r="G28" s="86"/>
      <c r="H28" s="86"/>
      <c r="I28" s="86"/>
      <c r="J28" s="86"/>
      <c r="K28" s="86"/>
      <c r="L28" s="86"/>
      <c r="M28" s="86"/>
      <c r="N28" s="86"/>
      <c r="O28" s="86"/>
      <c r="P28" s="86"/>
      <c r="Q28" s="67">
        <f t="shared" si="0"/>
        <v>0</v>
      </c>
      <c r="R28" s="67">
        <f t="shared" si="1"/>
        <v>0</v>
      </c>
      <c r="S28" s="86"/>
      <c r="T28" s="86"/>
      <c r="U28" s="86"/>
      <c r="V28" s="86"/>
      <c r="W28" s="66">
        <f t="shared" si="2"/>
        <v>0</v>
      </c>
      <c r="X28" s="98"/>
      <c r="Y28" s="68">
        <f t="shared" si="3"/>
        <v>0</v>
      </c>
      <c r="Z28" s="68">
        <f t="shared" si="4"/>
        <v>0</v>
      </c>
      <c r="AA28" s="72"/>
      <c r="AB28" s="68">
        <f t="shared" si="7"/>
        <v>0</v>
      </c>
      <c r="AC28" s="68">
        <f t="shared" si="8"/>
        <v>0</v>
      </c>
      <c r="AD28" s="68"/>
      <c r="AE28" s="55"/>
      <c r="AF28" s="69">
        <f t="shared" si="5"/>
        <v>0</v>
      </c>
      <c r="AG28" s="86"/>
      <c r="AH28" s="108"/>
      <c r="AI28" s="108"/>
      <c r="AJ28" s="108"/>
      <c r="AK28" s="70">
        <f t="shared" si="6"/>
        <v>0</v>
      </c>
      <c r="AL28" s="71"/>
      <c r="AM28" s="48"/>
      <c r="AN28" s="5"/>
      <c r="AO28" s="5"/>
      <c r="AP28" s="5"/>
      <c r="AQ28" s="5"/>
      <c r="AR28" s="7"/>
      <c r="AS28" s="7"/>
      <c r="AT28" s="7"/>
      <c r="AU28" s="7"/>
      <c r="AV28" s="7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</row>
    <row r="29" spans="1:115" ht="15" customHeight="1" x14ac:dyDescent="0.3">
      <c r="A29" s="65"/>
      <c r="B29" s="109"/>
      <c r="C29" s="110"/>
      <c r="D29" s="110"/>
      <c r="E29" s="111"/>
      <c r="F29" s="85"/>
      <c r="G29" s="86"/>
      <c r="H29" s="86"/>
      <c r="I29" s="86"/>
      <c r="J29" s="86"/>
      <c r="K29" s="86"/>
      <c r="L29" s="86"/>
      <c r="M29" s="86"/>
      <c r="N29" s="86"/>
      <c r="O29" s="86"/>
      <c r="P29" s="86"/>
      <c r="Q29" s="67">
        <f t="shared" si="0"/>
        <v>0</v>
      </c>
      <c r="R29" s="67">
        <f t="shared" si="1"/>
        <v>0</v>
      </c>
      <c r="S29" s="86"/>
      <c r="T29" s="86"/>
      <c r="U29" s="86"/>
      <c r="V29" s="86"/>
      <c r="W29" s="66">
        <f t="shared" si="2"/>
        <v>0</v>
      </c>
      <c r="X29" s="98"/>
      <c r="Y29" s="68">
        <f t="shared" si="3"/>
        <v>0</v>
      </c>
      <c r="Z29" s="68">
        <f t="shared" si="4"/>
        <v>0</v>
      </c>
      <c r="AA29" s="72"/>
      <c r="AB29" s="68">
        <f t="shared" si="7"/>
        <v>0</v>
      </c>
      <c r="AC29" s="68">
        <f t="shared" si="8"/>
        <v>0</v>
      </c>
      <c r="AD29" s="68"/>
      <c r="AE29" s="55"/>
      <c r="AF29" s="69">
        <f t="shared" si="5"/>
        <v>0</v>
      </c>
      <c r="AG29" s="86"/>
      <c r="AH29" s="108"/>
      <c r="AI29" s="108"/>
      <c r="AJ29" s="108"/>
      <c r="AK29" s="70">
        <f t="shared" si="6"/>
        <v>0</v>
      </c>
      <c r="AL29" s="71"/>
      <c r="AM29" s="48"/>
      <c r="AN29" s="5"/>
      <c r="AO29" s="5"/>
      <c r="AP29" s="5"/>
      <c r="AQ29" s="5"/>
      <c r="AR29" s="7"/>
      <c r="AS29" s="7"/>
      <c r="AT29" s="7"/>
      <c r="AU29" s="7"/>
      <c r="AV29" s="7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</row>
    <row r="30" spans="1:115" ht="15" customHeight="1" x14ac:dyDescent="0.3">
      <c r="A30" s="65"/>
      <c r="B30" s="109"/>
      <c r="C30" s="110"/>
      <c r="D30" s="110"/>
      <c r="E30" s="111"/>
      <c r="F30" s="85"/>
      <c r="G30" s="86"/>
      <c r="H30" s="86"/>
      <c r="I30" s="86"/>
      <c r="J30" s="86"/>
      <c r="K30" s="86"/>
      <c r="L30" s="86"/>
      <c r="M30" s="86"/>
      <c r="N30" s="86"/>
      <c r="O30" s="86"/>
      <c r="P30" s="86"/>
      <c r="Q30" s="67">
        <f t="shared" si="0"/>
        <v>0</v>
      </c>
      <c r="R30" s="67">
        <f t="shared" si="1"/>
        <v>0</v>
      </c>
      <c r="S30" s="86"/>
      <c r="T30" s="86"/>
      <c r="U30" s="86"/>
      <c r="V30" s="86"/>
      <c r="W30" s="66">
        <f t="shared" si="2"/>
        <v>0</v>
      </c>
      <c r="X30" s="98"/>
      <c r="Y30" s="68">
        <f t="shared" si="3"/>
        <v>0</v>
      </c>
      <c r="Z30" s="68">
        <f t="shared" si="4"/>
        <v>0</v>
      </c>
      <c r="AA30" s="72"/>
      <c r="AB30" s="68">
        <f t="shared" si="7"/>
        <v>0</v>
      </c>
      <c r="AC30" s="68">
        <f t="shared" si="8"/>
        <v>0</v>
      </c>
      <c r="AD30" s="68"/>
      <c r="AE30" s="55"/>
      <c r="AF30" s="69">
        <f t="shared" si="5"/>
        <v>0</v>
      </c>
      <c r="AG30" s="86"/>
      <c r="AH30" s="108"/>
      <c r="AI30" s="108"/>
      <c r="AJ30" s="108"/>
      <c r="AK30" s="70">
        <f t="shared" si="6"/>
        <v>0</v>
      </c>
      <c r="AL30" s="71"/>
      <c r="AM30" s="48"/>
      <c r="AN30" s="5"/>
      <c r="AO30" s="5"/>
      <c r="AP30" s="5"/>
      <c r="AQ30" s="5"/>
      <c r="AR30" s="7"/>
      <c r="AS30" s="7"/>
      <c r="AT30" s="7"/>
      <c r="AU30" s="7"/>
      <c r="AV30" s="7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</row>
    <row r="31" spans="1:115" ht="15" customHeight="1" x14ac:dyDescent="0.3">
      <c r="A31" s="65"/>
      <c r="B31" s="109"/>
      <c r="C31" s="110"/>
      <c r="D31" s="110"/>
      <c r="E31" s="111"/>
      <c r="F31" s="85"/>
      <c r="G31" s="86"/>
      <c r="H31" s="86"/>
      <c r="I31" s="86"/>
      <c r="J31" s="86"/>
      <c r="K31" s="86"/>
      <c r="L31" s="86"/>
      <c r="M31" s="86"/>
      <c r="N31" s="86"/>
      <c r="O31" s="86"/>
      <c r="P31" s="86"/>
      <c r="Q31" s="67">
        <f t="shared" si="0"/>
        <v>0</v>
      </c>
      <c r="R31" s="67">
        <f t="shared" si="1"/>
        <v>0</v>
      </c>
      <c r="S31" s="86"/>
      <c r="T31" s="86"/>
      <c r="U31" s="86"/>
      <c r="V31" s="86"/>
      <c r="W31" s="66">
        <f t="shared" si="2"/>
        <v>0</v>
      </c>
      <c r="X31" s="98"/>
      <c r="Y31" s="68">
        <f t="shared" si="3"/>
        <v>0</v>
      </c>
      <c r="Z31" s="68">
        <f t="shared" si="4"/>
        <v>0</v>
      </c>
      <c r="AA31" s="72"/>
      <c r="AB31" s="68">
        <f t="shared" si="7"/>
        <v>0</v>
      </c>
      <c r="AC31" s="68">
        <f t="shared" si="8"/>
        <v>0</v>
      </c>
      <c r="AD31" s="68"/>
      <c r="AE31" s="55"/>
      <c r="AF31" s="69">
        <f t="shared" si="5"/>
        <v>0</v>
      </c>
      <c r="AG31" s="86"/>
      <c r="AH31" s="108"/>
      <c r="AI31" s="108"/>
      <c r="AJ31" s="108"/>
      <c r="AK31" s="70">
        <f t="shared" si="6"/>
        <v>0</v>
      </c>
      <c r="AL31" s="71"/>
      <c r="AM31" s="48"/>
      <c r="AN31" s="5"/>
      <c r="AO31" s="5"/>
      <c r="AP31" s="5"/>
      <c r="AQ31" s="5"/>
      <c r="AR31" s="7"/>
      <c r="AS31" s="7"/>
      <c r="AT31" s="7"/>
      <c r="AU31" s="7"/>
      <c r="AV31" s="7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</row>
    <row r="32" spans="1:115" ht="15" customHeight="1" x14ac:dyDescent="0.3">
      <c r="A32" s="65"/>
      <c r="B32" s="109"/>
      <c r="C32" s="110"/>
      <c r="D32" s="110"/>
      <c r="E32" s="111"/>
      <c r="F32" s="85"/>
      <c r="G32" s="86"/>
      <c r="H32" s="86"/>
      <c r="I32" s="86"/>
      <c r="J32" s="86"/>
      <c r="K32" s="86"/>
      <c r="L32" s="86"/>
      <c r="M32" s="86"/>
      <c r="N32" s="86"/>
      <c r="O32" s="86"/>
      <c r="P32" s="86"/>
      <c r="Q32" s="67">
        <f t="shared" si="0"/>
        <v>0</v>
      </c>
      <c r="R32" s="67">
        <f t="shared" si="1"/>
        <v>0</v>
      </c>
      <c r="S32" s="86"/>
      <c r="T32" s="86"/>
      <c r="U32" s="86"/>
      <c r="V32" s="86"/>
      <c r="W32" s="66">
        <f t="shared" si="2"/>
        <v>0</v>
      </c>
      <c r="X32" s="98"/>
      <c r="Y32" s="68">
        <f t="shared" si="3"/>
        <v>0</v>
      </c>
      <c r="Z32" s="68">
        <f t="shared" si="4"/>
        <v>0</v>
      </c>
      <c r="AA32" s="72"/>
      <c r="AB32" s="68">
        <f t="shared" si="7"/>
        <v>0</v>
      </c>
      <c r="AC32" s="68">
        <f t="shared" si="8"/>
        <v>0</v>
      </c>
      <c r="AD32" s="68"/>
      <c r="AE32" s="55"/>
      <c r="AF32" s="69">
        <f t="shared" si="5"/>
        <v>0</v>
      </c>
      <c r="AG32" s="86"/>
      <c r="AH32" s="108"/>
      <c r="AI32" s="108"/>
      <c r="AJ32" s="108"/>
      <c r="AK32" s="70">
        <f t="shared" si="6"/>
        <v>0</v>
      </c>
      <c r="AL32" s="71"/>
      <c r="AM32" s="48"/>
      <c r="AN32" s="5"/>
      <c r="AO32" s="5"/>
      <c r="AP32" s="5"/>
      <c r="AQ32" s="5"/>
      <c r="AR32" s="7"/>
      <c r="AS32" s="7"/>
      <c r="AT32" s="7"/>
      <c r="AU32" s="7"/>
      <c r="AV32" s="7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</row>
    <row r="33" spans="1:115" ht="15" customHeight="1" x14ac:dyDescent="0.3">
      <c r="A33" s="65"/>
      <c r="B33" s="109"/>
      <c r="C33" s="110"/>
      <c r="D33" s="110"/>
      <c r="E33" s="111"/>
      <c r="F33" s="85"/>
      <c r="G33" s="86"/>
      <c r="H33" s="86"/>
      <c r="I33" s="86"/>
      <c r="J33" s="86"/>
      <c r="K33" s="86"/>
      <c r="L33" s="86"/>
      <c r="M33" s="86"/>
      <c r="N33" s="86"/>
      <c r="O33" s="86"/>
      <c r="P33" s="86"/>
      <c r="Q33" s="67">
        <f t="shared" si="0"/>
        <v>0</v>
      </c>
      <c r="R33" s="67">
        <f t="shared" si="1"/>
        <v>0</v>
      </c>
      <c r="S33" s="86"/>
      <c r="T33" s="86"/>
      <c r="U33" s="86"/>
      <c r="V33" s="86"/>
      <c r="W33" s="66">
        <f t="shared" si="2"/>
        <v>0</v>
      </c>
      <c r="X33" s="98"/>
      <c r="Y33" s="68">
        <f t="shared" si="3"/>
        <v>0</v>
      </c>
      <c r="Z33" s="68">
        <f t="shared" si="4"/>
        <v>0</v>
      </c>
      <c r="AA33" s="72"/>
      <c r="AB33" s="68">
        <f t="shared" si="7"/>
        <v>0</v>
      </c>
      <c r="AC33" s="68">
        <f t="shared" si="8"/>
        <v>0</v>
      </c>
      <c r="AD33" s="68"/>
      <c r="AE33" s="55"/>
      <c r="AF33" s="69">
        <f t="shared" si="5"/>
        <v>0</v>
      </c>
      <c r="AG33" s="86"/>
      <c r="AH33" s="108"/>
      <c r="AI33" s="108"/>
      <c r="AJ33" s="108"/>
      <c r="AK33" s="70">
        <f t="shared" si="6"/>
        <v>0</v>
      </c>
      <c r="AL33" s="71"/>
      <c r="AM33" s="48"/>
      <c r="AN33" s="5"/>
      <c r="AO33" s="5"/>
      <c r="AP33" s="5"/>
      <c r="AQ33" s="5"/>
      <c r="AR33" s="7"/>
      <c r="AS33" s="7"/>
      <c r="AT33" s="7"/>
      <c r="AU33" s="7"/>
      <c r="AV33" s="7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</row>
    <row r="34" spans="1:115" ht="15" customHeight="1" x14ac:dyDescent="0.3">
      <c r="A34" s="65"/>
      <c r="B34" s="109"/>
      <c r="C34" s="110"/>
      <c r="D34" s="110"/>
      <c r="E34" s="111"/>
      <c r="F34" s="85"/>
      <c r="G34" s="86"/>
      <c r="H34" s="86"/>
      <c r="I34" s="86"/>
      <c r="J34" s="86"/>
      <c r="K34" s="86"/>
      <c r="L34" s="86"/>
      <c r="M34" s="86"/>
      <c r="N34" s="86"/>
      <c r="O34" s="86"/>
      <c r="P34" s="86"/>
      <c r="Q34" s="67">
        <f t="shared" si="0"/>
        <v>0</v>
      </c>
      <c r="R34" s="67">
        <f t="shared" si="1"/>
        <v>0</v>
      </c>
      <c r="S34" s="86"/>
      <c r="T34" s="86"/>
      <c r="U34" s="86"/>
      <c r="V34" s="86"/>
      <c r="W34" s="66">
        <f t="shared" si="2"/>
        <v>0</v>
      </c>
      <c r="X34" s="98"/>
      <c r="Y34" s="68">
        <f t="shared" si="3"/>
        <v>0</v>
      </c>
      <c r="Z34" s="68">
        <f t="shared" si="4"/>
        <v>0</v>
      </c>
      <c r="AA34" s="72"/>
      <c r="AB34" s="68">
        <f t="shared" si="7"/>
        <v>0</v>
      </c>
      <c r="AC34" s="68">
        <f t="shared" si="8"/>
        <v>0</v>
      </c>
      <c r="AD34" s="68"/>
      <c r="AE34" s="55"/>
      <c r="AF34" s="69">
        <f t="shared" si="5"/>
        <v>0</v>
      </c>
      <c r="AG34" s="86"/>
      <c r="AH34" s="108"/>
      <c r="AI34" s="108"/>
      <c r="AJ34" s="108"/>
      <c r="AK34" s="70">
        <f t="shared" si="6"/>
        <v>0</v>
      </c>
      <c r="AL34" s="71"/>
      <c r="AM34" s="48"/>
      <c r="AN34" s="5"/>
      <c r="AO34" s="5"/>
      <c r="AP34" s="5"/>
      <c r="AQ34" s="5"/>
      <c r="AR34" s="7"/>
      <c r="AS34" s="7"/>
      <c r="AT34" s="7"/>
      <c r="AU34" s="7"/>
      <c r="AV34" s="7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</row>
    <row r="35" spans="1:115" ht="15" customHeight="1" x14ac:dyDescent="0.3">
      <c r="A35" s="65"/>
      <c r="B35" s="109"/>
      <c r="C35" s="110"/>
      <c r="D35" s="110"/>
      <c r="E35" s="111"/>
      <c r="F35" s="85"/>
      <c r="G35" s="86"/>
      <c r="H35" s="86"/>
      <c r="I35" s="86"/>
      <c r="J35" s="86"/>
      <c r="K35" s="86"/>
      <c r="L35" s="86"/>
      <c r="M35" s="86"/>
      <c r="N35" s="86"/>
      <c r="O35" s="86"/>
      <c r="P35" s="86"/>
      <c r="Q35" s="67">
        <f t="shared" si="0"/>
        <v>0</v>
      </c>
      <c r="R35" s="67">
        <f t="shared" si="1"/>
        <v>0</v>
      </c>
      <c r="S35" s="86"/>
      <c r="T35" s="86"/>
      <c r="U35" s="86"/>
      <c r="V35" s="86"/>
      <c r="W35" s="66">
        <f t="shared" si="2"/>
        <v>0</v>
      </c>
      <c r="X35" s="98"/>
      <c r="Y35" s="68">
        <f t="shared" si="3"/>
        <v>0</v>
      </c>
      <c r="Z35" s="68">
        <f t="shared" si="4"/>
        <v>0</v>
      </c>
      <c r="AA35" s="72"/>
      <c r="AB35" s="68">
        <f t="shared" si="7"/>
        <v>0</v>
      </c>
      <c r="AC35" s="68">
        <f t="shared" si="8"/>
        <v>0</v>
      </c>
      <c r="AD35" s="68"/>
      <c r="AE35" s="55"/>
      <c r="AF35" s="69">
        <f t="shared" si="5"/>
        <v>0</v>
      </c>
      <c r="AG35" s="86"/>
      <c r="AH35" s="108"/>
      <c r="AI35" s="108"/>
      <c r="AJ35" s="108"/>
      <c r="AK35" s="70">
        <f t="shared" si="6"/>
        <v>0</v>
      </c>
      <c r="AL35" s="71"/>
      <c r="AM35" s="48"/>
      <c r="AN35" s="5"/>
      <c r="AO35" s="5"/>
      <c r="AP35" s="5"/>
      <c r="AQ35" s="5"/>
      <c r="AR35" s="7"/>
      <c r="AS35" s="7"/>
      <c r="AT35" s="7"/>
      <c r="AU35" s="7"/>
      <c r="AV35" s="7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</row>
    <row r="36" spans="1:115" ht="15" customHeight="1" x14ac:dyDescent="0.3">
      <c r="A36" s="65"/>
      <c r="B36" s="109"/>
      <c r="C36" s="110"/>
      <c r="D36" s="110"/>
      <c r="E36" s="111"/>
      <c r="F36" s="85"/>
      <c r="G36" s="86"/>
      <c r="H36" s="86"/>
      <c r="I36" s="86"/>
      <c r="J36" s="86"/>
      <c r="K36" s="86"/>
      <c r="L36" s="86"/>
      <c r="M36" s="86"/>
      <c r="N36" s="86"/>
      <c r="O36" s="86"/>
      <c r="P36" s="86"/>
      <c r="Q36" s="67">
        <f t="shared" si="0"/>
        <v>0</v>
      </c>
      <c r="R36" s="67">
        <f t="shared" si="1"/>
        <v>0</v>
      </c>
      <c r="S36" s="86"/>
      <c r="T36" s="86"/>
      <c r="U36" s="86"/>
      <c r="V36" s="86"/>
      <c r="W36" s="66">
        <f t="shared" si="2"/>
        <v>0</v>
      </c>
      <c r="X36" s="98"/>
      <c r="Y36" s="68">
        <f t="shared" si="3"/>
        <v>0</v>
      </c>
      <c r="Z36" s="68">
        <f t="shared" si="4"/>
        <v>0</v>
      </c>
      <c r="AA36" s="72"/>
      <c r="AB36" s="68">
        <f t="shared" si="7"/>
        <v>0</v>
      </c>
      <c r="AC36" s="68">
        <f t="shared" si="8"/>
        <v>0</v>
      </c>
      <c r="AD36" s="68"/>
      <c r="AE36" s="55"/>
      <c r="AF36" s="69">
        <f t="shared" si="5"/>
        <v>0</v>
      </c>
      <c r="AG36" s="86"/>
      <c r="AH36" s="108"/>
      <c r="AI36" s="108"/>
      <c r="AJ36" s="108"/>
      <c r="AK36" s="70">
        <f t="shared" si="6"/>
        <v>0</v>
      </c>
      <c r="AL36" s="71"/>
      <c r="AM36" s="48"/>
      <c r="AN36" s="5"/>
      <c r="AO36" s="5"/>
      <c r="AP36" s="5"/>
      <c r="AQ36" s="5"/>
      <c r="AR36" s="7"/>
      <c r="AS36" s="7"/>
      <c r="AT36" s="7"/>
      <c r="AU36" s="7"/>
      <c r="AV36" s="7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</row>
    <row r="37" spans="1:115" ht="15" customHeight="1" x14ac:dyDescent="0.3">
      <c r="A37" s="65"/>
      <c r="B37" s="109"/>
      <c r="C37" s="110"/>
      <c r="D37" s="110"/>
      <c r="E37" s="111"/>
      <c r="F37" s="85"/>
      <c r="G37" s="86"/>
      <c r="H37" s="86"/>
      <c r="I37" s="86"/>
      <c r="J37" s="86"/>
      <c r="K37" s="86"/>
      <c r="L37" s="86"/>
      <c r="M37" s="86"/>
      <c r="N37" s="86"/>
      <c r="O37" s="86"/>
      <c r="P37" s="86"/>
      <c r="Q37" s="67">
        <f t="shared" si="0"/>
        <v>0</v>
      </c>
      <c r="R37" s="67">
        <f t="shared" si="1"/>
        <v>0</v>
      </c>
      <c r="S37" s="86"/>
      <c r="T37" s="86"/>
      <c r="U37" s="86"/>
      <c r="V37" s="86"/>
      <c r="W37" s="66">
        <f t="shared" si="2"/>
        <v>0</v>
      </c>
      <c r="X37" s="98"/>
      <c r="Y37" s="68">
        <f t="shared" si="3"/>
        <v>0</v>
      </c>
      <c r="Z37" s="68">
        <f t="shared" si="4"/>
        <v>0</v>
      </c>
      <c r="AA37" s="72"/>
      <c r="AB37" s="68">
        <f t="shared" si="7"/>
        <v>0</v>
      </c>
      <c r="AC37" s="68">
        <f t="shared" si="8"/>
        <v>0</v>
      </c>
      <c r="AD37" s="68"/>
      <c r="AE37" s="55"/>
      <c r="AF37" s="69">
        <f t="shared" si="5"/>
        <v>0</v>
      </c>
      <c r="AG37" s="86"/>
      <c r="AH37" s="108"/>
      <c r="AI37" s="108"/>
      <c r="AJ37" s="108"/>
      <c r="AK37" s="70">
        <f t="shared" si="6"/>
        <v>0</v>
      </c>
      <c r="AL37" s="71"/>
      <c r="AM37" s="48"/>
      <c r="AN37" s="5"/>
      <c r="AO37" s="5"/>
      <c r="AP37" s="5"/>
      <c r="AQ37" s="5"/>
      <c r="AR37" s="7"/>
      <c r="AS37" s="7"/>
      <c r="AT37" s="7"/>
      <c r="AU37" s="7"/>
      <c r="AV37" s="7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</row>
    <row r="38" spans="1:115" ht="15" customHeight="1" x14ac:dyDescent="0.3">
      <c r="A38" s="65"/>
      <c r="B38" s="109"/>
      <c r="C38" s="110"/>
      <c r="D38" s="110"/>
      <c r="E38" s="111"/>
      <c r="F38" s="85"/>
      <c r="G38" s="86"/>
      <c r="H38" s="86"/>
      <c r="I38" s="86"/>
      <c r="J38" s="86"/>
      <c r="K38" s="86"/>
      <c r="L38" s="86"/>
      <c r="M38" s="86"/>
      <c r="N38" s="86"/>
      <c r="O38" s="86"/>
      <c r="P38" s="86"/>
      <c r="Q38" s="67">
        <f t="shared" si="0"/>
        <v>0</v>
      </c>
      <c r="R38" s="67">
        <f t="shared" si="1"/>
        <v>0</v>
      </c>
      <c r="S38" s="86"/>
      <c r="T38" s="86"/>
      <c r="U38" s="86"/>
      <c r="V38" s="86"/>
      <c r="W38" s="66">
        <f t="shared" si="2"/>
        <v>0</v>
      </c>
      <c r="X38" s="98"/>
      <c r="Y38" s="68">
        <f t="shared" si="3"/>
        <v>0</v>
      </c>
      <c r="Z38" s="68">
        <f t="shared" si="4"/>
        <v>0</v>
      </c>
      <c r="AA38" s="72"/>
      <c r="AB38" s="68">
        <f t="shared" si="7"/>
        <v>0</v>
      </c>
      <c r="AC38" s="68">
        <f t="shared" si="8"/>
        <v>0</v>
      </c>
      <c r="AD38" s="68"/>
      <c r="AE38" s="55"/>
      <c r="AF38" s="69">
        <f t="shared" si="5"/>
        <v>0</v>
      </c>
      <c r="AG38" s="86"/>
      <c r="AH38" s="108"/>
      <c r="AI38" s="108"/>
      <c r="AJ38" s="108"/>
      <c r="AK38" s="70">
        <f t="shared" si="6"/>
        <v>0</v>
      </c>
      <c r="AL38" s="71"/>
      <c r="AM38" s="48"/>
      <c r="AN38" s="5"/>
      <c r="AO38" s="5"/>
      <c r="AP38" s="5"/>
      <c r="AQ38" s="5"/>
      <c r="AR38" s="7"/>
      <c r="AS38" s="7"/>
      <c r="AT38" s="7"/>
      <c r="AU38" s="7"/>
      <c r="AV38" s="7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</row>
    <row r="39" spans="1:115" ht="15" customHeight="1" x14ac:dyDescent="0.3">
      <c r="A39" s="65"/>
      <c r="B39" s="109"/>
      <c r="C39" s="110"/>
      <c r="D39" s="110"/>
      <c r="E39" s="111"/>
      <c r="F39" s="85"/>
      <c r="G39" s="86"/>
      <c r="H39" s="86"/>
      <c r="I39" s="86"/>
      <c r="J39" s="86"/>
      <c r="K39" s="86"/>
      <c r="L39" s="86"/>
      <c r="M39" s="86"/>
      <c r="N39" s="86"/>
      <c r="O39" s="86"/>
      <c r="P39" s="86"/>
      <c r="Q39" s="67">
        <f t="shared" si="0"/>
        <v>0</v>
      </c>
      <c r="R39" s="67">
        <f t="shared" si="1"/>
        <v>0</v>
      </c>
      <c r="S39" s="86"/>
      <c r="T39" s="86"/>
      <c r="U39" s="86"/>
      <c r="V39" s="86"/>
      <c r="W39" s="66">
        <f t="shared" si="2"/>
        <v>0</v>
      </c>
      <c r="X39" s="98"/>
      <c r="Y39" s="68">
        <f t="shared" si="3"/>
        <v>0</v>
      </c>
      <c r="Z39" s="68">
        <f t="shared" si="4"/>
        <v>0</v>
      </c>
      <c r="AA39" s="72"/>
      <c r="AB39" s="68">
        <f t="shared" si="7"/>
        <v>0</v>
      </c>
      <c r="AC39" s="68">
        <f t="shared" si="8"/>
        <v>0</v>
      </c>
      <c r="AD39" s="68"/>
      <c r="AE39" s="55"/>
      <c r="AF39" s="69">
        <f t="shared" si="5"/>
        <v>0</v>
      </c>
      <c r="AG39" s="86"/>
      <c r="AH39" s="108"/>
      <c r="AI39" s="108"/>
      <c r="AJ39" s="108"/>
      <c r="AK39" s="70">
        <f t="shared" si="6"/>
        <v>0</v>
      </c>
      <c r="AL39" s="71"/>
      <c r="AM39" s="48"/>
      <c r="AN39" s="5"/>
      <c r="AO39" s="5"/>
      <c r="AP39" s="5"/>
      <c r="AQ39" s="5"/>
      <c r="AR39" s="7"/>
      <c r="AS39" s="7"/>
      <c r="AT39" s="7"/>
      <c r="AU39" s="7"/>
      <c r="AV39" s="7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</row>
    <row r="40" spans="1:115" ht="15" customHeight="1" x14ac:dyDescent="0.3">
      <c r="A40" s="65"/>
      <c r="B40" s="109"/>
      <c r="C40" s="110"/>
      <c r="D40" s="110"/>
      <c r="E40" s="111"/>
      <c r="F40" s="85"/>
      <c r="G40" s="86"/>
      <c r="H40" s="86"/>
      <c r="I40" s="86"/>
      <c r="J40" s="86"/>
      <c r="K40" s="86"/>
      <c r="L40" s="86"/>
      <c r="M40" s="86"/>
      <c r="N40" s="86"/>
      <c r="O40" s="86"/>
      <c r="P40" s="86"/>
      <c r="Q40" s="67">
        <f t="shared" si="0"/>
        <v>0</v>
      </c>
      <c r="R40" s="67">
        <f t="shared" si="1"/>
        <v>0</v>
      </c>
      <c r="S40" s="86"/>
      <c r="T40" s="86"/>
      <c r="U40" s="86"/>
      <c r="V40" s="86"/>
      <c r="W40" s="66">
        <f t="shared" si="2"/>
        <v>0</v>
      </c>
      <c r="X40" s="98"/>
      <c r="Y40" s="68">
        <f t="shared" si="3"/>
        <v>0</v>
      </c>
      <c r="Z40" s="68">
        <f t="shared" si="4"/>
        <v>0</v>
      </c>
      <c r="AA40" s="72"/>
      <c r="AB40" s="68">
        <f t="shared" si="7"/>
        <v>0</v>
      </c>
      <c r="AC40" s="68">
        <f t="shared" si="8"/>
        <v>0</v>
      </c>
      <c r="AD40" s="68"/>
      <c r="AE40" s="55"/>
      <c r="AF40" s="69">
        <f t="shared" si="5"/>
        <v>0</v>
      </c>
      <c r="AG40" s="86"/>
      <c r="AH40" s="108"/>
      <c r="AI40" s="108"/>
      <c r="AJ40" s="108"/>
      <c r="AK40" s="70">
        <f t="shared" si="6"/>
        <v>0</v>
      </c>
      <c r="AL40" s="71"/>
      <c r="AM40" s="48"/>
      <c r="AN40" s="5"/>
      <c r="AO40" s="5"/>
      <c r="AP40" s="5"/>
      <c r="AQ40" s="5"/>
      <c r="AR40" s="7"/>
      <c r="AS40" s="7"/>
      <c r="AT40" s="7"/>
      <c r="AU40" s="7"/>
      <c r="AV40" s="7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</row>
    <row r="41" spans="1:115" ht="15" customHeight="1" x14ac:dyDescent="0.3">
      <c r="A41" s="65"/>
      <c r="B41" s="109"/>
      <c r="C41" s="110"/>
      <c r="D41" s="110"/>
      <c r="E41" s="111"/>
      <c r="F41" s="85"/>
      <c r="G41" s="86"/>
      <c r="H41" s="86"/>
      <c r="I41" s="86"/>
      <c r="J41" s="86"/>
      <c r="K41" s="86"/>
      <c r="L41" s="86"/>
      <c r="M41" s="86"/>
      <c r="N41" s="86"/>
      <c r="O41" s="86"/>
      <c r="P41" s="86"/>
      <c r="Q41" s="67">
        <f t="shared" si="0"/>
        <v>0</v>
      </c>
      <c r="R41" s="67">
        <f t="shared" si="1"/>
        <v>0</v>
      </c>
      <c r="S41" s="86"/>
      <c r="T41" s="86"/>
      <c r="U41" s="86"/>
      <c r="V41" s="86"/>
      <c r="W41" s="66">
        <f t="shared" si="2"/>
        <v>0</v>
      </c>
      <c r="X41" s="97"/>
      <c r="Y41" s="68">
        <f t="shared" si="3"/>
        <v>0</v>
      </c>
      <c r="Z41" s="68">
        <f t="shared" si="4"/>
        <v>0</v>
      </c>
      <c r="AA41" s="72"/>
      <c r="AB41" s="68">
        <f t="shared" si="7"/>
        <v>0</v>
      </c>
      <c r="AC41" s="68">
        <f t="shared" si="8"/>
        <v>0</v>
      </c>
      <c r="AD41" s="68"/>
      <c r="AE41" s="55"/>
      <c r="AF41" s="69">
        <f t="shared" si="5"/>
        <v>0</v>
      </c>
      <c r="AG41" s="86"/>
      <c r="AH41" s="108"/>
      <c r="AI41" s="108"/>
      <c r="AJ41" s="108"/>
      <c r="AK41" s="70">
        <f t="shared" si="6"/>
        <v>0</v>
      </c>
      <c r="AL41" s="71"/>
      <c r="AM41" s="48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</row>
    <row r="42" spans="1:115" ht="15" customHeight="1" x14ac:dyDescent="0.3">
      <c r="A42" s="65"/>
      <c r="B42" s="109"/>
      <c r="C42" s="110"/>
      <c r="D42" s="110"/>
      <c r="E42" s="111"/>
      <c r="F42" s="85"/>
      <c r="G42" s="86"/>
      <c r="H42" s="86"/>
      <c r="I42" s="86"/>
      <c r="J42" s="86"/>
      <c r="K42" s="86"/>
      <c r="L42" s="86"/>
      <c r="M42" s="86"/>
      <c r="N42" s="86"/>
      <c r="O42" s="86"/>
      <c r="P42" s="86"/>
      <c r="Q42" s="67">
        <f t="shared" si="0"/>
        <v>0</v>
      </c>
      <c r="R42" s="67">
        <f t="shared" si="1"/>
        <v>0</v>
      </c>
      <c r="S42" s="86"/>
      <c r="T42" s="86"/>
      <c r="U42" s="86"/>
      <c r="V42" s="86"/>
      <c r="W42" s="66">
        <f t="shared" si="2"/>
        <v>0</v>
      </c>
      <c r="X42" s="97"/>
      <c r="Y42" s="68">
        <f t="shared" si="3"/>
        <v>0</v>
      </c>
      <c r="Z42" s="68">
        <f t="shared" si="4"/>
        <v>0</v>
      </c>
      <c r="AA42" s="72"/>
      <c r="AB42" s="68">
        <f t="shared" si="7"/>
        <v>0</v>
      </c>
      <c r="AC42" s="68">
        <f t="shared" si="8"/>
        <v>0</v>
      </c>
      <c r="AD42" s="68"/>
      <c r="AE42" s="55"/>
      <c r="AF42" s="69">
        <f t="shared" si="5"/>
        <v>0</v>
      </c>
      <c r="AG42" s="86"/>
      <c r="AH42" s="108"/>
      <c r="AI42" s="108"/>
      <c r="AJ42" s="108"/>
      <c r="AK42" s="70">
        <f t="shared" si="6"/>
        <v>0</v>
      </c>
      <c r="AL42" s="71"/>
      <c r="AM42" s="48"/>
      <c r="AN42" s="5"/>
      <c r="AO42" s="5"/>
      <c r="AP42" s="5"/>
      <c r="AQ42" s="5"/>
      <c r="AR42" s="7"/>
      <c r="AS42" s="7"/>
      <c r="AT42" s="7"/>
      <c r="AU42" s="7"/>
      <c r="AV42" s="7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</row>
    <row r="43" spans="1:115" ht="15" customHeight="1" x14ac:dyDescent="0.3">
      <c r="A43" s="65"/>
      <c r="B43" s="109"/>
      <c r="C43" s="110"/>
      <c r="D43" s="110"/>
      <c r="E43" s="111"/>
      <c r="F43" s="85"/>
      <c r="G43" s="86"/>
      <c r="H43" s="86"/>
      <c r="I43" s="86"/>
      <c r="J43" s="86"/>
      <c r="K43" s="86"/>
      <c r="L43" s="86"/>
      <c r="M43" s="86"/>
      <c r="N43" s="86"/>
      <c r="O43" s="86"/>
      <c r="P43" s="86"/>
      <c r="Q43" s="67">
        <f t="shared" si="0"/>
        <v>0</v>
      </c>
      <c r="R43" s="67">
        <f t="shared" si="1"/>
        <v>0</v>
      </c>
      <c r="S43" s="86"/>
      <c r="T43" s="86"/>
      <c r="U43" s="86"/>
      <c r="V43" s="86"/>
      <c r="W43" s="66">
        <f t="shared" si="2"/>
        <v>0</v>
      </c>
      <c r="X43" s="101"/>
      <c r="Y43" s="68">
        <f t="shared" si="3"/>
        <v>0</v>
      </c>
      <c r="Z43" s="68">
        <f t="shared" si="4"/>
        <v>0</v>
      </c>
      <c r="AA43" s="72"/>
      <c r="AB43" s="68">
        <f t="shared" si="7"/>
        <v>0</v>
      </c>
      <c r="AC43" s="68">
        <f t="shared" si="8"/>
        <v>0</v>
      </c>
      <c r="AD43" s="68"/>
      <c r="AE43" s="55"/>
      <c r="AF43" s="69">
        <f t="shared" si="5"/>
        <v>0</v>
      </c>
      <c r="AG43" s="86"/>
      <c r="AH43" s="108"/>
      <c r="AI43" s="108"/>
      <c r="AJ43" s="108"/>
      <c r="AK43" s="70">
        <f t="shared" si="6"/>
        <v>0</v>
      </c>
      <c r="AL43" s="71"/>
      <c r="AM43" s="48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</row>
    <row r="44" spans="1:115" ht="15" customHeight="1" x14ac:dyDescent="0.3">
      <c r="A44" s="65"/>
      <c r="B44" s="109"/>
      <c r="C44" s="110"/>
      <c r="D44" s="110"/>
      <c r="E44" s="111"/>
      <c r="F44" s="85"/>
      <c r="G44" s="86"/>
      <c r="H44" s="86"/>
      <c r="I44" s="86"/>
      <c r="J44" s="86"/>
      <c r="K44" s="86"/>
      <c r="L44" s="86"/>
      <c r="M44" s="86"/>
      <c r="N44" s="86"/>
      <c r="O44" s="86"/>
      <c r="P44" s="86"/>
      <c r="Q44" s="67">
        <f t="shared" si="0"/>
        <v>0</v>
      </c>
      <c r="R44" s="67">
        <f t="shared" si="1"/>
        <v>0</v>
      </c>
      <c r="S44" s="86"/>
      <c r="T44" s="86"/>
      <c r="U44" s="86"/>
      <c r="V44" s="86"/>
      <c r="W44" s="66">
        <f t="shared" si="2"/>
        <v>0</v>
      </c>
      <c r="X44" s="96"/>
      <c r="Y44" s="68">
        <f t="shared" si="3"/>
        <v>0</v>
      </c>
      <c r="Z44" s="68">
        <f t="shared" si="4"/>
        <v>0</v>
      </c>
      <c r="AA44" s="72"/>
      <c r="AB44" s="68">
        <f t="shared" si="7"/>
        <v>0</v>
      </c>
      <c r="AC44" s="68">
        <f t="shared" si="8"/>
        <v>0</v>
      </c>
      <c r="AD44" s="68"/>
      <c r="AE44" s="55"/>
      <c r="AF44" s="69">
        <f t="shared" si="5"/>
        <v>0</v>
      </c>
      <c r="AG44" s="86"/>
      <c r="AH44" s="108"/>
      <c r="AI44" s="108"/>
      <c r="AJ44" s="108"/>
      <c r="AK44" s="70">
        <f t="shared" si="6"/>
        <v>0</v>
      </c>
      <c r="AL44" s="71"/>
      <c r="AM44" s="48"/>
      <c r="AN44" s="5"/>
      <c r="AO44" s="5"/>
      <c r="AP44" s="5"/>
      <c r="AQ44" s="5"/>
      <c r="AR44" s="7"/>
      <c r="AS44" s="7"/>
      <c r="AT44" s="7"/>
      <c r="AU44" s="7"/>
      <c r="AV44" s="7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</row>
    <row r="45" spans="1:115" ht="15" customHeight="1" x14ac:dyDescent="0.3">
      <c r="A45" s="65"/>
      <c r="B45" s="109"/>
      <c r="C45" s="110"/>
      <c r="D45" s="110"/>
      <c r="E45" s="111"/>
      <c r="F45" s="85"/>
      <c r="G45" s="86"/>
      <c r="H45" s="86"/>
      <c r="I45" s="86"/>
      <c r="J45" s="86"/>
      <c r="K45" s="86"/>
      <c r="L45" s="86"/>
      <c r="M45" s="86"/>
      <c r="N45" s="86"/>
      <c r="O45" s="86"/>
      <c r="P45" s="86"/>
      <c r="Q45" s="67">
        <f t="shared" si="0"/>
        <v>0</v>
      </c>
      <c r="R45" s="67">
        <f t="shared" si="1"/>
        <v>0</v>
      </c>
      <c r="S45" s="86"/>
      <c r="T45" s="86"/>
      <c r="U45" s="86"/>
      <c r="V45" s="86"/>
      <c r="W45" s="66">
        <f t="shared" si="2"/>
        <v>0</v>
      </c>
      <c r="X45" s="97"/>
      <c r="Y45" s="68">
        <f t="shared" si="3"/>
        <v>0</v>
      </c>
      <c r="Z45" s="68">
        <f t="shared" si="4"/>
        <v>0</v>
      </c>
      <c r="AA45" s="72"/>
      <c r="AB45" s="68">
        <f t="shared" si="7"/>
        <v>0</v>
      </c>
      <c r="AC45" s="68">
        <f t="shared" si="8"/>
        <v>0</v>
      </c>
      <c r="AD45" s="68"/>
      <c r="AE45" s="55"/>
      <c r="AF45" s="69">
        <f t="shared" si="5"/>
        <v>0</v>
      </c>
      <c r="AG45" s="86"/>
      <c r="AH45" s="108"/>
      <c r="AI45" s="108"/>
      <c r="AJ45" s="108"/>
      <c r="AK45" s="70">
        <f t="shared" si="6"/>
        <v>0</v>
      </c>
      <c r="AL45" s="71"/>
      <c r="AM45" s="48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</row>
    <row r="46" spans="1:115" ht="15" customHeight="1" x14ac:dyDescent="0.3">
      <c r="A46" s="65"/>
      <c r="B46" s="109"/>
      <c r="C46" s="110"/>
      <c r="D46" s="110"/>
      <c r="E46" s="111"/>
      <c r="F46" s="85"/>
      <c r="G46" s="86"/>
      <c r="H46" s="86"/>
      <c r="I46" s="86"/>
      <c r="J46" s="86"/>
      <c r="K46" s="86"/>
      <c r="L46" s="86"/>
      <c r="M46" s="86"/>
      <c r="N46" s="86"/>
      <c r="O46" s="86"/>
      <c r="P46" s="86"/>
      <c r="Q46" s="67">
        <f t="shared" si="0"/>
        <v>0</v>
      </c>
      <c r="R46" s="67">
        <f t="shared" si="1"/>
        <v>0</v>
      </c>
      <c r="S46" s="86"/>
      <c r="T46" s="86"/>
      <c r="U46" s="86"/>
      <c r="V46" s="86"/>
      <c r="W46" s="66">
        <f t="shared" si="2"/>
        <v>0</v>
      </c>
      <c r="X46" s="98"/>
      <c r="Y46" s="68">
        <f t="shared" si="3"/>
        <v>0</v>
      </c>
      <c r="Z46" s="68">
        <f t="shared" si="4"/>
        <v>0</v>
      </c>
      <c r="AA46" s="72"/>
      <c r="AB46" s="68">
        <f t="shared" si="7"/>
        <v>0</v>
      </c>
      <c r="AC46" s="68">
        <f t="shared" si="8"/>
        <v>0</v>
      </c>
      <c r="AD46" s="68"/>
      <c r="AE46" s="55"/>
      <c r="AF46" s="69">
        <f t="shared" si="5"/>
        <v>0</v>
      </c>
      <c r="AG46" s="86"/>
      <c r="AH46" s="108"/>
      <c r="AI46" s="108"/>
      <c r="AJ46" s="108"/>
      <c r="AK46" s="70">
        <f t="shared" si="6"/>
        <v>0</v>
      </c>
      <c r="AL46" s="71"/>
      <c r="AM46" s="48"/>
      <c r="AN46" s="5"/>
      <c r="AO46" s="5"/>
      <c r="AP46" s="5"/>
      <c r="AQ46" s="5"/>
      <c r="AR46" s="7"/>
      <c r="AS46" s="7"/>
      <c r="AT46" s="7"/>
      <c r="AU46" s="7"/>
      <c r="AV46" s="7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</row>
    <row r="47" spans="1:115" ht="15.75" customHeight="1" x14ac:dyDescent="0.3">
      <c r="A47" s="65"/>
      <c r="B47" s="109"/>
      <c r="C47" s="110"/>
      <c r="D47" s="110"/>
      <c r="E47" s="111"/>
      <c r="F47" s="85"/>
      <c r="G47" s="86"/>
      <c r="H47" s="86"/>
      <c r="I47" s="86"/>
      <c r="J47" s="86"/>
      <c r="K47" s="86"/>
      <c r="L47" s="86"/>
      <c r="M47" s="86"/>
      <c r="N47" s="86"/>
      <c r="O47" s="86"/>
      <c r="P47" s="86"/>
      <c r="Q47" s="67">
        <f t="shared" si="0"/>
        <v>0</v>
      </c>
      <c r="R47" s="67">
        <f t="shared" si="1"/>
        <v>0</v>
      </c>
      <c r="S47" s="86"/>
      <c r="T47" s="86"/>
      <c r="U47" s="86"/>
      <c r="V47" s="86"/>
      <c r="W47" s="66">
        <f t="shared" si="2"/>
        <v>0</v>
      </c>
      <c r="X47" s="97"/>
      <c r="Y47" s="68">
        <f t="shared" si="3"/>
        <v>0</v>
      </c>
      <c r="Z47" s="68">
        <f t="shared" si="4"/>
        <v>0</v>
      </c>
      <c r="AA47" s="72"/>
      <c r="AB47" s="68">
        <f t="shared" si="7"/>
        <v>0</v>
      </c>
      <c r="AC47" s="68">
        <f t="shared" si="8"/>
        <v>0</v>
      </c>
      <c r="AD47" s="68"/>
      <c r="AE47" s="55"/>
      <c r="AF47" s="69">
        <f t="shared" si="5"/>
        <v>0</v>
      </c>
      <c r="AG47" s="86"/>
      <c r="AH47" s="108"/>
      <c r="AI47" s="108"/>
      <c r="AJ47" s="108"/>
      <c r="AK47" s="70">
        <f t="shared" si="6"/>
        <v>0</v>
      </c>
      <c r="AL47" s="71"/>
      <c r="AM47" s="48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</row>
    <row r="48" spans="1:115" ht="15" customHeight="1" x14ac:dyDescent="0.3">
      <c r="A48" s="65"/>
      <c r="B48" s="109"/>
      <c r="C48" s="110"/>
      <c r="D48" s="110"/>
      <c r="E48" s="111"/>
      <c r="F48" s="88"/>
      <c r="G48" s="86"/>
      <c r="H48" s="86"/>
      <c r="I48" s="86"/>
      <c r="J48" s="86"/>
      <c r="K48" s="86"/>
      <c r="L48" s="86"/>
      <c r="M48" s="86"/>
      <c r="N48" s="86"/>
      <c r="O48" s="86"/>
      <c r="P48" s="86"/>
      <c r="Q48" s="67">
        <f t="shared" si="0"/>
        <v>0</v>
      </c>
      <c r="R48" s="67">
        <f t="shared" si="1"/>
        <v>0</v>
      </c>
      <c r="S48" s="86"/>
      <c r="T48" s="86"/>
      <c r="U48" s="86"/>
      <c r="V48" s="86"/>
      <c r="W48" s="66">
        <f t="shared" si="2"/>
        <v>0</v>
      </c>
      <c r="X48" s="97"/>
      <c r="Y48" s="68">
        <f t="shared" si="3"/>
        <v>0</v>
      </c>
      <c r="Z48" s="68">
        <f t="shared" si="4"/>
        <v>0</v>
      </c>
      <c r="AA48" s="72"/>
      <c r="AB48" s="68">
        <f t="shared" si="7"/>
        <v>0</v>
      </c>
      <c r="AC48" s="68">
        <f t="shared" si="8"/>
        <v>0</v>
      </c>
      <c r="AD48" s="68"/>
      <c r="AE48" s="55"/>
      <c r="AF48" s="69">
        <f t="shared" si="5"/>
        <v>0</v>
      </c>
      <c r="AG48" s="86"/>
      <c r="AH48" s="108"/>
      <c r="AI48" s="108"/>
      <c r="AJ48" s="108"/>
      <c r="AK48" s="70">
        <f t="shared" si="6"/>
        <v>0</v>
      </c>
      <c r="AL48" s="71"/>
      <c r="AM48" s="48"/>
      <c r="AN48" s="5"/>
      <c r="AO48" s="5"/>
      <c r="AP48" s="5"/>
      <c r="AQ48" s="5"/>
      <c r="AR48" s="7"/>
      <c r="AS48" s="7"/>
      <c r="AT48" s="7"/>
      <c r="AU48" s="7"/>
      <c r="AV48" s="7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</row>
    <row r="49" spans="1:115" ht="15" customHeight="1" x14ac:dyDescent="0.3">
      <c r="A49" s="65"/>
      <c r="B49" s="109"/>
      <c r="C49" s="110"/>
      <c r="D49" s="110"/>
      <c r="E49" s="111"/>
      <c r="F49" s="85"/>
      <c r="G49" s="86"/>
      <c r="H49" s="86"/>
      <c r="I49" s="86"/>
      <c r="J49" s="86"/>
      <c r="K49" s="86"/>
      <c r="L49" s="86"/>
      <c r="M49" s="86"/>
      <c r="N49" s="86"/>
      <c r="O49" s="86"/>
      <c r="P49" s="86"/>
      <c r="Q49" s="67">
        <f t="shared" si="0"/>
        <v>0</v>
      </c>
      <c r="R49" s="67">
        <f t="shared" si="1"/>
        <v>0</v>
      </c>
      <c r="S49" s="86"/>
      <c r="T49" s="86"/>
      <c r="U49" s="86"/>
      <c r="V49" s="86"/>
      <c r="W49" s="66">
        <f t="shared" si="2"/>
        <v>0</v>
      </c>
      <c r="X49" s="96"/>
      <c r="Y49" s="68">
        <f t="shared" si="3"/>
        <v>0</v>
      </c>
      <c r="Z49" s="68">
        <f t="shared" si="4"/>
        <v>0</v>
      </c>
      <c r="AA49" s="72"/>
      <c r="AB49" s="68">
        <f t="shared" si="7"/>
        <v>0</v>
      </c>
      <c r="AC49" s="68">
        <f t="shared" si="8"/>
        <v>0</v>
      </c>
      <c r="AD49" s="68"/>
      <c r="AE49" s="55"/>
      <c r="AF49" s="69">
        <f t="shared" si="5"/>
        <v>0</v>
      </c>
      <c r="AG49" s="86"/>
      <c r="AH49" s="108"/>
      <c r="AI49" s="108"/>
      <c r="AJ49" s="108"/>
      <c r="AK49" s="70">
        <f t="shared" si="6"/>
        <v>0</v>
      </c>
      <c r="AL49" s="71"/>
      <c r="AM49" s="48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</row>
    <row r="50" spans="1:115" s="42" customFormat="1" ht="15" customHeight="1" x14ac:dyDescent="0.3">
      <c r="A50" s="65"/>
      <c r="B50" s="109"/>
      <c r="C50" s="110"/>
      <c r="D50" s="110"/>
      <c r="E50" s="111"/>
      <c r="F50" s="85"/>
      <c r="G50" s="86"/>
      <c r="H50" s="86"/>
      <c r="I50" s="86"/>
      <c r="J50" s="86"/>
      <c r="K50" s="86"/>
      <c r="L50" s="86"/>
      <c r="M50" s="86"/>
      <c r="N50" s="86"/>
      <c r="O50" s="86"/>
      <c r="P50" s="86"/>
      <c r="Q50" s="67">
        <f t="shared" si="0"/>
        <v>0</v>
      </c>
      <c r="R50" s="67">
        <f t="shared" si="1"/>
        <v>0</v>
      </c>
      <c r="S50" s="86"/>
      <c r="T50" s="86"/>
      <c r="U50" s="86"/>
      <c r="V50" s="86"/>
      <c r="W50" s="66">
        <f t="shared" si="2"/>
        <v>0</v>
      </c>
      <c r="X50" s="101"/>
      <c r="Y50" s="68">
        <f t="shared" si="3"/>
        <v>0</v>
      </c>
      <c r="Z50" s="68">
        <f t="shared" si="4"/>
        <v>0</v>
      </c>
      <c r="AA50" s="72"/>
      <c r="AB50" s="68">
        <f t="shared" si="7"/>
        <v>0</v>
      </c>
      <c r="AC50" s="68">
        <f t="shared" si="8"/>
        <v>0</v>
      </c>
      <c r="AD50" s="68"/>
      <c r="AE50" s="55"/>
      <c r="AF50" s="69">
        <f t="shared" si="5"/>
        <v>0</v>
      </c>
      <c r="AG50" s="86"/>
      <c r="AH50" s="108"/>
      <c r="AI50" s="108"/>
      <c r="AJ50" s="108"/>
      <c r="AK50" s="70">
        <f t="shared" si="6"/>
        <v>0</v>
      </c>
      <c r="AL50" s="71"/>
      <c r="AM50" s="48"/>
      <c r="AN50" s="5"/>
      <c r="AO50" s="5"/>
      <c r="AP50" s="5"/>
      <c r="AQ50" s="5"/>
      <c r="AR50" s="7"/>
      <c r="AS50" s="7"/>
      <c r="AT50" s="7"/>
      <c r="AU50" s="7"/>
      <c r="AV50" s="7"/>
      <c r="AW50"/>
      <c r="AX50"/>
      <c r="AY50"/>
      <c r="AZ50"/>
      <c r="BA50"/>
      <c r="BB50"/>
      <c r="BC50"/>
      <c r="BD50"/>
      <c r="BE50"/>
      <c r="BF50"/>
      <c r="BG50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/>
      <c r="CG50"/>
      <c r="CH50"/>
      <c r="CI50"/>
      <c r="CJ50"/>
      <c r="CK50"/>
      <c r="CL50"/>
      <c r="CM50"/>
      <c r="CN50"/>
      <c r="CO50"/>
      <c r="CP50"/>
      <c r="CQ50"/>
      <c r="CR50"/>
      <c r="CS50"/>
      <c r="CT50"/>
      <c r="CU50"/>
      <c r="CV50"/>
      <c r="CW50"/>
      <c r="CX50"/>
      <c r="CY50"/>
      <c r="CZ50"/>
      <c r="DA50"/>
      <c r="DB50"/>
      <c r="DC50"/>
      <c r="DD50"/>
      <c r="DE50"/>
      <c r="DF50"/>
      <c r="DG50"/>
      <c r="DH50"/>
      <c r="DI50"/>
      <c r="DJ50"/>
      <c r="DK50"/>
    </row>
    <row r="51" spans="1:115" s="42" customFormat="1" ht="15.75" customHeight="1" x14ac:dyDescent="0.3">
      <c r="A51" s="65"/>
      <c r="B51" s="109"/>
      <c r="C51" s="110"/>
      <c r="D51" s="110"/>
      <c r="E51" s="111"/>
      <c r="F51" s="90"/>
      <c r="G51" s="86"/>
      <c r="H51" s="86"/>
      <c r="I51" s="86"/>
      <c r="J51" s="86"/>
      <c r="K51" s="86"/>
      <c r="L51" s="86"/>
      <c r="M51" s="86"/>
      <c r="N51" s="86"/>
      <c r="O51" s="86"/>
      <c r="P51" s="86"/>
      <c r="Q51" s="67">
        <f t="shared" si="0"/>
        <v>0</v>
      </c>
      <c r="R51" s="67">
        <f t="shared" si="1"/>
        <v>0</v>
      </c>
      <c r="S51" s="86"/>
      <c r="T51" s="86"/>
      <c r="U51" s="86"/>
      <c r="V51" s="86"/>
      <c r="W51" s="66">
        <f t="shared" si="2"/>
        <v>0</v>
      </c>
      <c r="X51" s="96"/>
      <c r="Y51" s="68">
        <f t="shared" si="3"/>
        <v>0</v>
      </c>
      <c r="Z51" s="68">
        <f t="shared" si="4"/>
        <v>0</v>
      </c>
      <c r="AA51" s="72"/>
      <c r="AB51" s="68">
        <f t="shared" si="7"/>
        <v>0</v>
      </c>
      <c r="AC51" s="68">
        <f t="shared" si="8"/>
        <v>0</v>
      </c>
      <c r="AD51" s="68"/>
      <c r="AE51" s="55"/>
      <c r="AF51" s="69">
        <f t="shared" si="5"/>
        <v>0</v>
      </c>
      <c r="AG51" s="86"/>
      <c r="AH51" s="108"/>
      <c r="AI51" s="108"/>
      <c r="AJ51" s="108"/>
      <c r="AK51" s="70">
        <f t="shared" si="6"/>
        <v>0</v>
      </c>
      <c r="AL51" s="71"/>
      <c r="AM51" s="48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</row>
    <row r="52" spans="1:115" ht="15" customHeight="1" x14ac:dyDescent="0.3">
      <c r="A52" s="65"/>
      <c r="B52" s="109"/>
      <c r="C52" s="110"/>
      <c r="D52" s="110"/>
      <c r="E52" s="111"/>
      <c r="F52" s="88"/>
      <c r="G52" s="86"/>
      <c r="H52" s="86"/>
      <c r="I52" s="86"/>
      <c r="J52" s="86"/>
      <c r="K52" s="86"/>
      <c r="L52" s="86"/>
      <c r="M52" s="86"/>
      <c r="N52" s="86"/>
      <c r="O52" s="86"/>
      <c r="P52" s="86"/>
      <c r="Q52" s="67">
        <f t="shared" si="0"/>
        <v>0</v>
      </c>
      <c r="R52" s="67">
        <f t="shared" si="1"/>
        <v>0</v>
      </c>
      <c r="S52" s="86"/>
      <c r="T52" s="86"/>
      <c r="U52" s="86"/>
      <c r="V52" s="86"/>
      <c r="W52" s="66">
        <f t="shared" si="2"/>
        <v>0</v>
      </c>
      <c r="X52" s="98"/>
      <c r="Y52" s="68">
        <f t="shared" si="3"/>
        <v>0</v>
      </c>
      <c r="Z52" s="68">
        <f t="shared" si="4"/>
        <v>0</v>
      </c>
      <c r="AA52" s="72"/>
      <c r="AB52" s="68">
        <f t="shared" si="7"/>
        <v>0</v>
      </c>
      <c r="AC52" s="68">
        <f t="shared" si="8"/>
        <v>0</v>
      </c>
      <c r="AD52" s="68"/>
      <c r="AE52" s="55"/>
      <c r="AF52" s="69">
        <f t="shared" si="5"/>
        <v>0</v>
      </c>
      <c r="AG52" s="86"/>
      <c r="AH52" s="108"/>
      <c r="AI52" s="108"/>
      <c r="AJ52" s="108"/>
      <c r="AK52" s="70">
        <f t="shared" si="6"/>
        <v>0</v>
      </c>
      <c r="AL52" s="71"/>
      <c r="AM52" s="48"/>
      <c r="AN52" s="5"/>
      <c r="AO52" s="5"/>
      <c r="AP52" s="5"/>
      <c r="AQ52" s="5"/>
      <c r="AR52" s="7"/>
      <c r="AS52" s="7"/>
      <c r="AT52" s="7"/>
      <c r="AU52" s="7"/>
      <c r="AV52" s="7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</row>
    <row r="53" spans="1:115" ht="15" customHeight="1" x14ac:dyDescent="0.3">
      <c r="A53" s="65"/>
      <c r="B53" s="109"/>
      <c r="C53" s="110"/>
      <c r="D53" s="110"/>
      <c r="E53" s="111"/>
      <c r="F53" s="90" t="s">
        <v>52</v>
      </c>
      <c r="G53" s="86"/>
      <c r="H53" s="86"/>
      <c r="I53" s="86"/>
      <c r="J53" s="86"/>
      <c r="K53" s="86"/>
      <c r="L53" s="86"/>
      <c r="M53" s="86"/>
      <c r="N53" s="86"/>
      <c r="O53" s="86"/>
      <c r="P53" s="86"/>
      <c r="Q53" s="67">
        <f t="shared" si="0"/>
        <v>0</v>
      </c>
      <c r="R53" s="67">
        <f t="shared" si="1"/>
        <v>0</v>
      </c>
      <c r="S53" s="86"/>
      <c r="T53" s="86"/>
      <c r="U53" s="86"/>
      <c r="V53" s="86"/>
      <c r="W53" s="66">
        <f t="shared" si="2"/>
        <v>0</v>
      </c>
      <c r="X53" s="98"/>
      <c r="Y53" s="68">
        <f t="shared" si="3"/>
        <v>0</v>
      </c>
      <c r="Z53" s="68">
        <f t="shared" si="4"/>
        <v>0</v>
      </c>
      <c r="AA53" s="72"/>
      <c r="AB53" s="68">
        <f t="shared" si="7"/>
        <v>0</v>
      </c>
      <c r="AC53" s="68">
        <f t="shared" si="8"/>
        <v>0</v>
      </c>
      <c r="AD53" s="68"/>
      <c r="AE53" s="55"/>
      <c r="AF53" s="69">
        <f t="shared" si="5"/>
        <v>0</v>
      </c>
      <c r="AG53" s="86"/>
      <c r="AH53" s="108"/>
      <c r="AI53" s="108"/>
      <c r="AJ53" s="108"/>
      <c r="AK53" s="70">
        <f t="shared" si="6"/>
        <v>0</v>
      </c>
      <c r="AL53" s="71"/>
      <c r="AM53" s="48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</row>
    <row r="54" spans="1:115" ht="15" customHeight="1" x14ac:dyDescent="0.3">
      <c r="A54" s="65"/>
      <c r="B54" s="109"/>
      <c r="C54" s="110"/>
      <c r="D54" s="110"/>
      <c r="E54" s="111"/>
      <c r="F54" s="85"/>
      <c r="G54" s="86"/>
      <c r="H54" s="86"/>
      <c r="I54" s="86"/>
      <c r="J54" s="86"/>
      <c r="K54" s="86"/>
      <c r="L54" s="86"/>
      <c r="M54" s="86"/>
      <c r="N54" s="86"/>
      <c r="O54" s="86"/>
      <c r="P54" s="86"/>
      <c r="Q54" s="67">
        <f t="shared" si="0"/>
        <v>0</v>
      </c>
      <c r="R54" s="67">
        <f t="shared" si="1"/>
        <v>0</v>
      </c>
      <c r="S54" s="86"/>
      <c r="T54" s="86"/>
      <c r="U54" s="86"/>
      <c r="V54" s="86"/>
      <c r="W54" s="66">
        <f t="shared" si="2"/>
        <v>0</v>
      </c>
      <c r="X54" s="98"/>
      <c r="Y54" s="68">
        <f t="shared" si="3"/>
        <v>0</v>
      </c>
      <c r="Z54" s="68">
        <f t="shared" si="4"/>
        <v>0</v>
      </c>
      <c r="AA54" s="72"/>
      <c r="AB54" s="68">
        <f t="shared" si="7"/>
        <v>0</v>
      </c>
      <c r="AC54" s="68">
        <f t="shared" si="8"/>
        <v>0</v>
      </c>
      <c r="AD54" s="68"/>
      <c r="AE54" s="55"/>
      <c r="AF54" s="69">
        <f t="shared" si="5"/>
        <v>0</v>
      </c>
      <c r="AG54" s="86"/>
      <c r="AH54" s="108"/>
      <c r="AI54" s="108"/>
      <c r="AJ54" s="108"/>
      <c r="AK54" s="70">
        <f t="shared" si="6"/>
        <v>0</v>
      </c>
      <c r="AL54" s="71"/>
      <c r="AM54" s="48"/>
      <c r="AN54" s="5"/>
      <c r="AO54" s="5"/>
      <c r="AP54" s="5"/>
      <c r="AQ54" s="5"/>
      <c r="AR54" s="7"/>
      <c r="AS54" s="7"/>
      <c r="AT54" s="7"/>
      <c r="AU54" s="7"/>
      <c r="AV54" s="7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</row>
    <row r="55" spans="1:115" ht="15" customHeight="1" x14ac:dyDescent="0.3">
      <c r="A55" s="65"/>
      <c r="B55" s="109"/>
      <c r="C55" s="110"/>
      <c r="D55" s="110"/>
      <c r="E55" s="111"/>
      <c r="F55" s="85"/>
      <c r="G55" s="86"/>
      <c r="H55" s="86"/>
      <c r="I55" s="86"/>
      <c r="J55" s="86"/>
      <c r="K55" s="86"/>
      <c r="L55" s="86"/>
      <c r="M55" s="86"/>
      <c r="N55" s="86"/>
      <c r="O55" s="86"/>
      <c r="P55" s="86"/>
      <c r="Q55" s="67">
        <f t="shared" si="0"/>
        <v>0</v>
      </c>
      <c r="R55" s="67">
        <f t="shared" si="1"/>
        <v>0</v>
      </c>
      <c r="S55" s="86"/>
      <c r="T55" s="86"/>
      <c r="U55" s="86"/>
      <c r="V55" s="86"/>
      <c r="W55" s="66">
        <f t="shared" si="2"/>
        <v>0</v>
      </c>
      <c r="X55" s="98"/>
      <c r="Y55" s="68">
        <f t="shared" si="3"/>
        <v>0</v>
      </c>
      <c r="Z55" s="68">
        <f t="shared" si="4"/>
        <v>0</v>
      </c>
      <c r="AA55" s="72"/>
      <c r="AB55" s="68">
        <f t="shared" si="7"/>
        <v>0</v>
      </c>
      <c r="AC55" s="68">
        <f t="shared" si="8"/>
        <v>0</v>
      </c>
      <c r="AD55" s="68"/>
      <c r="AE55" s="55"/>
      <c r="AF55" s="69">
        <f t="shared" si="5"/>
        <v>0</v>
      </c>
      <c r="AG55" s="86"/>
      <c r="AH55" s="108"/>
      <c r="AI55" s="108"/>
      <c r="AJ55" s="108"/>
      <c r="AK55" s="70">
        <f t="shared" si="6"/>
        <v>0</v>
      </c>
      <c r="AL55" s="71"/>
      <c r="AM55" s="48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</row>
    <row r="56" spans="1:115" ht="15" customHeight="1" x14ac:dyDescent="0.3">
      <c r="A56" s="65"/>
      <c r="B56" s="109"/>
      <c r="C56" s="110"/>
      <c r="D56" s="110"/>
      <c r="E56" s="111"/>
      <c r="F56" s="91"/>
      <c r="G56" s="86"/>
      <c r="H56" s="86"/>
      <c r="I56" s="86"/>
      <c r="J56" s="86"/>
      <c r="K56" s="86"/>
      <c r="L56" s="86"/>
      <c r="M56" s="86"/>
      <c r="N56" s="86"/>
      <c r="O56" s="86"/>
      <c r="P56" s="86"/>
      <c r="Q56" s="67">
        <f t="shared" si="0"/>
        <v>0</v>
      </c>
      <c r="R56" s="67">
        <f t="shared" si="1"/>
        <v>0</v>
      </c>
      <c r="S56" s="86"/>
      <c r="T56" s="86"/>
      <c r="U56" s="86"/>
      <c r="V56" s="86"/>
      <c r="W56" s="66">
        <f t="shared" si="2"/>
        <v>0</v>
      </c>
      <c r="X56" s="98"/>
      <c r="Y56" s="68">
        <f t="shared" si="3"/>
        <v>0</v>
      </c>
      <c r="Z56" s="68">
        <f t="shared" si="4"/>
        <v>0</v>
      </c>
      <c r="AA56" s="72"/>
      <c r="AB56" s="68">
        <f t="shared" si="7"/>
        <v>0</v>
      </c>
      <c r="AC56" s="68">
        <f t="shared" si="8"/>
        <v>0</v>
      </c>
      <c r="AD56" s="68"/>
      <c r="AE56" s="55"/>
      <c r="AF56" s="69">
        <f t="shared" si="5"/>
        <v>0</v>
      </c>
      <c r="AG56" s="86"/>
      <c r="AH56" s="108"/>
      <c r="AI56" s="108"/>
      <c r="AJ56" s="108"/>
      <c r="AK56" s="70">
        <f t="shared" si="6"/>
        <v>0</v>
      </c>
      <c r="AL56" s="71"/>
      <c r="AM56" s="48"/>
      <c r="AN56" s="5"/>
      <c r="AO56" s="5"/>
      <c r="AP56" s="5"/>
      <c r="AQ56" s="5"/>
      <c r="AR56" s="7"/>
      <c r="AS56" s="7"/>
      <c r="AT56" s="7"/>
      <c r="AU56" s="7"/>
      <c r="AV56" s="7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</row>
    <row r="57" spans="1:115" ht="15" customHeight="1" x14ac:dyDescent="0.3">
      <c r="A57" s="65"/>
      <c r="B57" s="109"/>
      <c r="C57" s="110"/>
      <c r="D57" s="110"/>
      <c r="E57" s="111"/>
      <c r="F57" s="92"/>
      <c r="G57" s="86"/>
      <c r="H57" s="86"/>
      <c r="I57" s="86"/>
      <c r="J57" s="86"/>
      <c r="K57" s="86"/>
      <c r="L57" s="86"/>
      <c r="M57" s="86"/>
      <c r="N57" s="86"/>
      <c r="O57" s="86"/>
      <c r="P57" s="86"/>
      <c r="Q57" s="67">
        <f t="shared" si="0"/>
        <v>0</v>
      </c>
      <c r="R57" s="67">
        <f t="shared" si="1"/>
        <v>0</v>
      </c>
      <c r="S57" s="86"/>
      <c r="T57" s="86"/>
      <c r="U57" s="86"/>
      <c r="V57" s="86"/>
      <c r="W57" s="66">
        <f t="shared" si="2"/>
        <v>0</v>
      </c>
      <c r="X57" s="98"/>
      <c r="Y57" s="68">
        <f t="shared" si="3"/>
        <v>0</v>
      </c>
      <c r="Z57" s="68">
        <f t="shared" si="4"/>
        <v>0</v>
      </c>
      <c r="AA57" s="72"/>
      <c r="AB57" s="68">
        <f t="shared" si="7"/>
        <v>0</v>
      </c>
      <c r="AC57" s="68">
        <f t="shared" si="8"/>
        <v>0</v>
      </c>
      <c r="AD57" s="68"/>
      <c r="AE57" s="55"/>
      <c r="AF57" s="69">
        <f t="shared" si="5"/>
        <v>0</v>
      </c>
      <c r="AG57" s="86"/>
      <c r="AH57" s="108"/>
      <c r="AI57" s="108"/>
      <c r="AJ57" s="108"/>
      <c r="AK57" s="70">
        <f t="shared" si="6"/>
        <v>0</v>
      </c>
      <c r="AL57" s="71"/>
      <c r="AM57" s="48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</row>
    <row r="58" spans="1:115" s="42" customFormat="1" ht="15" customHeight="1" x14ac:dyDescent="0.3">
      <c r="A58" s="65"/>
      <c r="B58" s="109"/>
      <c r="C58" s="110"/>
      <c r="D58" s="110"/>
      <c r="E58" s="111"/>
      <c r="F58" s="93"/>
      <c r="G58" s="86"/>
      <c r="H58" s="86"/>
      <c r="I58" s="86"/>
      <c r="J58" s="86"/>
      <c r="K58" s="86"/>
      <c r="L58" s="86"/>
      <c r="M58" s="86"/>
      <c r="N58" s="86"/>
      <c r="O58" s="86"/>
      <c r="P58" s="86"/>
      <c r="Q58" s="67">
        <f t="shared" si="0"/>
        <v>0</v>
      </c>
      <c r="R58" s="67">
        <f t="shared" si="1"/>
        <v>0</v>
      </c>
      <c r="S58" s="86"/>
      <c r="T58" s="86"/>
      <c r="U58" s="86"/>
      <c r="V58" s="86"/>
      <c r="W58" s="66">
        <f t="shared" si="2"/>
        <v>0</v>
      </c>
      <c r="X58" s="98"/>
      <c r="Y58" s="68">
        <f t="shared" si="3"/>
        <v>0</v>
      </c>
      <c r="Z58" s="68">
        <f t="shared" si="4"/>
        <v>0</v>
      </c>
      <c r="AA58" s="72"/>
      <c r="AB58" s="68">
        <f t="shared" si="7"/>
        <v>0</v>
      </c>
      <c r="AC58" s="68">
        <f t="shared" si="8"/>
        <v>0</v>
      </c>
      <c r="AD58" s="68"/>
      <c r="AE58" s="55"/>
      <c r="AF58" s="69">
        <f t="shared" si="5"/>
        <v>0</v>
      </c>
      <c r="AG58" s="86"/>
      <c r="AH58" s="108"/>
      <c r="AI58" s="108"/>
      <c r="AJ58" s="108"/>
      <c r="AK58" s="70">
        <f t="shared" si="6"/>
        <v>0</v>
      </c>
      <c r="AL58" s="71"/>
      <c r="AM58" s="48"/>
      <c r="AN58" s="5"/>
      <c r="AO58" s="5"/>
      <c r="AP58" s="5"/>
      <c r="AQ58" s="5"/>
      <c r="AR58" s="7"/>
      <c r="AS58" s="7"/>
      <c r="AT58" s="7"/>
      <c r="AU58" s="7"/>
      <c r="AV58" s="7"/>
      <c r="AW58"/>
      <c r="AX58"/>
      <c r="AY58"/>
      <c r="AZ58"/>
      <c r="BA58"/>
      <c r="BB58"/>
      <c r="BC58"/>
      <c r="BD58"/>
      <c r="BE58"/>
      <c r="BF58"/>
      <c r="BG58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/>
      <c r="CG58"/>
      <c r="CH58"/>
      <c r="CI58"/>
      <c r="CJ58"/>
      <c r="CK58"/>
      <c r="CL58"/>
      <c r="CM58"/>
      <c r="CN58"/>
      <c r="CO58"/>
      <c r="CP58"/>
      <c r="CQ58"/>
      <c r="CR58"/>
      <c r="CS58"/>
      <c r="CT58"/>
      <c r="CU58"/>
      <c r="CV58"/>
      <c r="CW58"/>
      <c r="CX58"/>
      <c r="CY58"/>
      <c r="CZ58"/>
      <c r="DA58"/>
      <c r="DB58"/>
      <c r="DC58"/>
      <c r="DD58"/>
      <c r="DE58"/>
      <c r="DF58"/>
      <c r="DG58"/>
      <c r="DH58"/>
      <c r="DI58"/>
      <c r="DJ58"/>
      <c r="DK58"/>
    </row>
    <row r="59" spans="1:115" s="42" customFormat="1" ht="15" customHeight="1" x14ac:dyDescent="0.3">
      <c r="A59" s="65"/>
      <c r="B59" s="109"/>
      <c r="C59" s="110"/>
      <c r="D59" s="110"/>
      <c r="E59" s="111"/>
      <c r="F59" s="85"/>
      <c r="G59" s="86"/>
      <c r="H59" s="86"/>
      <c r="I59" s="86"/>
      <c r="J59" s="86"/>
      <c r="K59" s="86"/>
      <c r="L59" s="86"/>
      <c r="M59" s="86"/>
      <c r="N59" s="86"/>
      <c r="O59" s="86"/>
      <c r="P59" s="86"/>
      <c r="Q59" s="67">
        <f t="shared" si="0"/>
        <v>0</v>
      </c>
      <c r="R59" s="67">
        <f t="shared" si="1"/>
        <v>0</v>
      </c>
      <c r="S59" s="86"/>
      <c r="T59" s="86"/>
      <c r="U59" s="86"/>
      <c r="V59" s="86"/>
      <c r="W59" s="66">
        <f t="shared" si="2"/>
        <v>0</v>
      </c>
      <c r="X59" s="98"/>
      <c r="Y59" s="68">
        <f t="shared" si="3"/>
        <v>0</v>
      </c>
      <c r="Z59" s="68">
        <f t="shared" si="4"/>
        <v>0</v>
      </c>
      <c r="AA59" s="72"/>
      <c r="AB59" s="68">
        <f t="shared" si="7"/>
        <v>0</v>
      </c>
      <c r="AC59" s="68">
        <f t="shared" si="8"/>
        <v>0</v>
      </c>
      <c r="AD59" s="68"/>
      <c r="AE59" s="55"/>
      <c r="AF59" s="69">
        <f t="shared" si="5"/>
        <v>0</v>
      </c>
      <c r="AG59" s="86"/>
      <c r="AH59" s="108"/>
      <c r="AI59" s="108"/>
      <c r="AJ59" s="108"/>
      <c r="AK59" s="70">
        <f t="shared" si="6"/>
        <v>0</v>
      </c>
      <c r="AL59" s="71"/>
      <c r="AM59" s="48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</row>
    <row r="60" spans="1:115" ht="15" customHeight="1" x14ac:dyDescent="0.3">
      <c r="A60" s="65"/>
      <c r="B60" s="109"/>
      <c r="C60" s="110"/>
      <c r="D60" s="110"/>
      <c r="E60" s="111"/>
      <c r="F60" s="85"/>
      <c r="G60" s="86"/>
      <c r="H60" s="86"/>
      <c r="I60" s="86"/>
      <c r="J60" s="86"/>
      <c r="K60" s="86"/>
      <c r="L60" s="86"/>
      <c r="M60" s="86"/>
      <c r="N60" s="86"/>
      <c r="O60" s="86"/>
      <c r="P60" s="86"/>
      <c r="Q60" s="67">
        <f t="shared" si="0"/>
        <v>0</v>
      </c>
      <c r="R60" s="67">
        <f t="shared" si="1"/>
        <v>0</v>
      </c>
      <c r="S60" s="86"/>
      <c r="T60" s="86"/>
      <c r="U60" s="86"/>
      <c r="V60" s="86"/>
      <c r="W60" s="66">
        <f t="shared" si="2"/>
        <v>0</v>
      </c>
      <c r="X60" s="98"/>
      <c r="Y60" s="68">
        <f t="shared" si="3"/>
        <v>0</v>
      </c>
      <c r="Z60" s="68">
        <f t="shared" si="4"/>
        <v>0</v>
      </c>
      <c r="AA60" s="72"/>
      <c r="AB60" s="68">
        <f t="shared" si="7"/>
        <v>0</v>
      </c>
      <c r="AC60" s="68">
        <f t="shared" si="8"/>
        <v>0</v>
      </c>
      <c r="AD60" s="68"/>
      <c r="AE60" s="55"/>
      <c r="AF60" s="69">
        <f t="shared" si="5"/>
        <v>0</v>
      </c>
      <c r="AG60" s="86"/>
      <c r="AH60" s="108"/>
      <c r="AI60" s="108"/>
      <c r="AJ60" s="108"/>
      <c r="AK60" s="70">
        <f t="shared" si="6"/>
        <v>0</v>
      </c>
      <c r="AL60" s="71"/>
      <c r="AM60" s="48"/>
      <c r="AN60" s="5"/>
      <c r="AO60" s="5"/>
      <c r="AP60" s="5"/>
      <c r="AQ60" s="5"/>
      <c r="AR60" s="7"/>
      <c r="AS60" s="7"/>
      <c r="AT60" s="7"/>
      <c r="AU60" s="7"/>
      <c r="AV60" s="7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</row>
    <row r="61" spans="1:115" ht="15.75" customHeight="1" x14ac:dyDescent="0.3">
      <c r="A61" s="65"/>
      <c r="B61" s="109"/>
      <c r="C61" s="110"/>
      <c r="D61" s="110"/>
      <c r="E61" s="111"/>
      <c r="F61" s="85"/>
      <c r="G61" s="86"/>
      <c r="H61" s="86"/>
      <c r="I61" s="86"/>
      <c r="J61" s="86"/>
      <c r="K61" s="86"/>
      <c r="L61" s="86"/>
      <c r="M61" s="86"/>
      <c r="N61" s="86"/>
      <c r="O61" s="86"/>
      <c r="P61" s="87"/>
      <c r="Q61" s="72">
        <f>P61*0.02</f>
        <v>0</v>
      </c>
      <c r="R61" s="72">
        <f>P61+Q61</f>
        <v>0</v>
      </c>
      <c r="S61" s="86"/>
      <c r="T61" s="86"/>
      <c r="U61" s="86"/>
      <c r="V61" s="86"/>
      <c r="W61" s="73">
        <f>G61+I61+K61+M61+O61+R61+S61+T61+U61+V61</f>
        <v>0</v>
      </c>
      <c r="X61" s="102"/>
      <c r="Y61" s="68">
        <f>X61*0.02</f>
        <v>0</v>
      </c>
      <c r="Z61" s="68">
        <f>X61+Y61</f>
        <v>0</v>
      </c>
      <c r="AA61" s="72"/>
      <c r="AB61" s="68">
        <f t="shared" si="7"/>
        <v>0</v>
      </c>
      <c r="AC61" s="68">
        <f t="shared" si="8"/>
        <v>0</v>
      </c>
      <c r="AD61" s="68"/>
      <c r="AE61" s="55"/>
      <c r="AF61" s="69">
        <f t="shared" si="5"/>
        <v>0</v>
      </c>
      <c r="AG61" s="86"/>
      <c r="AH61" s="108"/>
      <c r="AI61" s="108"/>
      <c r="AJ61" s="108"/>
      <c r="AK61" s="70">
        <f t="shared" si="6"/>
        <v>0</v>
      </c>
      <c r="AL61" s="71"/>
      <c r="AM61" s="48"/>
      <c r="AN61" s="5"/>
      <c r="AO61" s="5"/>
      <c r="AP61" s="5"/>
      <c r="AQ61" s="5"/>
      <c r="AR61" s="7"/>
      <c r="AS61" s="7"/>
      <c r="AT61" s="7"/>
      <c r="AU61" s="7"/>
      <c r="AV61" s="7"/>
      <c r="CE61" s="1"/>
    </row>
    <row r="62" spans="1:115" ht="15" customHeight="1" x14ac:dyDescent="0.3">
      <c r="A62" s="65"/>
      <c r="B62" s="109"/>
      <c r="C62" s="110"/>
      <c r="D62" s="110"/>
      <c r="E62" s="111"/>
      <c r="F62" s="85"/>
      <c r="G62" s="86"/>
      <c r="H62" s="86"/>
      <c r="I62" s="86"/>
      <c r="J62" s="86"/>
      <c r="K62" s="86"/>
      <c r="L62" s="86"/>
      <c r="M62" s="86"/>
      <c r="N62" s="86"/>
      <c r="O62" s="86"/>
      <c r="P62" s="86"/>
      <c r="Q62" s="67">
        <f t="shared" si="0"/>
        <v>0</v>
      </c>
      <c r="R62" s="67">
        <f t="shared" si="1"/>
        <v>0</v>
      </c>
      <c r="S62" s="86"/>
      <c r="T62" s="86"/>
      <c r="U62" s="86"/>
      <c r="V62" s="86"/>
      <c r="W62" s="66">
        <f t="shared" si="2"/>
        <v>0</v>
      </c>
      <c r="X62" s="98"/>
      <c r="Y62" s="68">
        <f t="shared" si="3"/>
        <v>0</v>
      </c>
      <c r="Z62" s="68">
        <f t="shared" si="4"/>
        <v>0</v>
      </c>
      <c r="AA62" s="72"/>
      <c r="AB62" s="68">
        <f t="shared" si="7"/>
        <v>0</v>
      </c>
      <c r="AC62" s="68">
        <f t="shared" si="8"/>
        <v>0</v>
      </c>
      <c r="AD62" s="68"/>
      <c r="AE62" s="55"/>
      <c r="AF62" s="69">
        <f t="shared" si="5"/>
        <v>0</v>
      </c>
      <c r="AG62" s="86"/>
      <c r="AH62" s="108"/>
      <c r="AI62" s="108"/>
      <c r="AJ62" s="108"/>
      <c r="AK62" s="70">
        <f t="shared" si="6"/>
        <v>0</v>
      </c>
      <c r="AL62" s="71"/>
      <c r="AM62" s="48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</row>
    <row r="63" spans="1:115" ht="15" customHeight="1" x14ac:dyDescent="0.3">
      <c r="A63" s="65"/>
      <c r="B63" s="109"/>
      <c r="C63" s="110"/>
      <c r="D63" s="110"/>
      <c r="E63" s="111"/>
      <c r="F63" s="85"/>
      <c r="G63" s="86"/>
      <c r="H63" s="86"/>
      <c r="I63" s="86"/>
      <c r="J63" s="86"/>
      <c r="K63" s="86"/>
      <c r="L63" s="86"/>
      <c r="M63" s="86"/>
      <c r="N63" s="86"/>
      <c r="O63" s="86"/>
      <c r="P63" s="86"/>
      <c r="Q63" s="67">
        <f t="shared" si="0"/>
        <v>0</v>
      </c>
      <c r="R63" s="67">
        <f t="shared" si="1"/>
        <v>0</v>
      </c>
      <c r="S63" s="86"/>
      <c r="T63" s="86"/>
      <c r="U63" s="86"/>
      <c r="V63" s="86"/>
      <c r="W63" s="66">
        <f t="shared" si="2"/>
        <v>0</v>
      </c>
      <c r="X63" s="98"/>
      <c r="Y63" s="68">
        <f t="shared" si="3"/>
        <v>0</v>
      </c>
      <c r="Z63" s="68">
        <f t="shared" si="4"/>
        <v>0</v>
      </c>
      <c r="AA63" s="72"/>
      <c r="AB63" s="68">
        <f t="shared" si="7"/>
        <v>0</v>
      </c>
      <c r="AC63" s="68">
        <f t="shared" si="8"/>
        <v>0</v>
      </c>
      <c r="AD63" s="68"/>
      <c r="AE63" s="55"/>
      <c r="AF63" s="69">
        <f t="shared" si="5"/>
        <v>0</v>
      </c>
      <c r="AG63" s="86"/>
      <c r="AH63" s="108"/>
      <c r="AI63" s="108"/>
      <c r="AJ63" s="108"/>
      <c r="AK63" s="70">
        <f t="shared" si="6"/>
        <v>0</v>
      </c>
      <c r="AL63" s="71"/>
      <c r="AM63" s="48"/>
      <c r="AN63" s="5"/>
      <c r="AO63" s="5"/>
      <c r="AP63" s="5"/>
      <c r="AQ63" s="5"/>
      <c r="AR63" s="7"/>
      <c r="AS63" s="7"/>
      <c r="AT63" s="7"/>
      <c r="AU63" s="7"/>
      <c r="AV63" s="7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</row>
    <row r="64" spans="1:115" ht="15" customHeight="1" x14ac:dyDescent="0.3">
      <c r="A64" s="65"/>
      <c r="B64" s="109"/>
      <c r="C64" s="110"/>
      <c r="D64" s="110"/>
      <c r="E64" s="111"/>
      <c r="F64" s="94"/>
      <c r="G64" s="86"/>
      <c r="H64" s="86"/>
      <c r="I64" s="86"/>
      <c r="J64" s="86"/>
      <c r="K64" s="86"/>
      <c r="L64" s="86"/>
      <c r="M64" s="86"/>
      <c r="N64" s="86"/>
      <c r="O64" s="86"/>
      <c r="P64" s="86"/>
      <c r="Q64" s="67">
        <f t="shared" si="0"/>
        <v>0</v>
      </c>
      <c r="R64" s="67">
        <f t="shared" si="1"/>
        <v>0</v>
      </c>
      <c r="S64" s="86"/>
      <c r="T64" s="86"/>
      <c r="U64" s="86"/>
      <c r="V64" s="86"/>
      <c r="W64" s="66">
        <f t="shared" si="2"/>
        <v>0</v>
      </c>
      <c r="X64" s="98"/>
      <c r="Y64" s="68">
        <f t="shared" si="3"/>
        <v>0</v>
      </c>
      <c r="Z64" s="68">
        <f t="shared" si="4"/>
        <v>0</v>
      </c>
      <c r="AA64" s="72"/>
      <c r="AB64" s="68">
        <f t="shared" si="7"/>
        <v>0</v>
      </c>
      <c r="AC64" s="68">
        <f t="shared" si="8"/>
        <v>0</v>
      </c>
      <c r="AD64" s="68"/>
      <c r="AE64" s="55"/>
      <c r="AF64" s="69">
        <f t="shared" si="5"/>
        <v>0</v>
      </c>
      <c r="AG64" s="86"/>
      <c r="AH64" s="108"/>
      <c r="AI64" s="108"/>
      <c r="AJ64" s="108"/>
      <c r="AK64" s="70">
        <f t="shared" si="6"/>
        <v>0</v>
      </c>
      <c r="AL64" s="71"/>
      <c r="AM64" s="48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</row>
    <row r="65" spans="1:151" s="75" customFormat="1" ht="15" customHeight="1" x14ac:dyDescent="0.3">
      <c r="A65" s="65"/>
      <c r="B65" s="109"/>
      <c r="C65" s="110"/>
      <c r="D65" s="110"/>
      <c r="E65" s="111"/>
      <c r="F65" s="85"/>
      <c r="G65" s="86"/>
      <c r="H65" s="86"/>
      <c r="I65" s="86"/>
      <c r="J65" s="86"/>
      <c r="K65" s="86"/>
      <c r="L65" s="86"/>
      <c r="M65" s="86"/>
      <c r="N65" s="86"/>
      <c r="O65" s="86"/>
      <c r="P65" s="86"/>
      <c r="Q65" s="67">
        <f t="shared" si="0"/>
        <v>0</v>
      </c>
      <c r="R65" s="67">
        <f t="shared" si="1"/>
        <v>0</v>
      </c>
      <c r="S65" s="86"/>
      <c r="T65" s="86"/>
      <c r="U65" s="86"/>
      <c r="V65" s="86"/>
      <c r="W65" s="66">
        <f t="shared" si="2"/>
        <v>0</v>
      </c>
      <c r="X65" s="98"/>
      <c r="Y65" s="68">
        <f t="shared" si="3"/>
        <v>0</v>
      </c>
      <c r="Z65" s="68">
        <f t="shared" si="4"/>
        <v>0</v>
      </c>
      <c r="AA65" s="72"/>
      <c r="AB65" s="68">
        <f t="shared" si="7"/>
        <v>0</v>
      </c>
      <c r="AC65" s="68">
        <f t="shared" si="8"/>
        <v>0</v>
      </c>
      <c r="AD65" s="68"/>
      <c r="AE65" s="55"/>
      <c r="AF65" s="69">
        <f t="shared" si="5"/>
        <v>0</v>
      </c>
      <c r="AG65" s="86"/>
      <c r="AH65" s="108"/>
      <c r="AI65" s="108"/>
      <c r="AJ65" s="108"/>
      <c r="AK65" s="70">
        <f t="shared" si="6"/>
        <v>0</v>
      </c>
      <c r="AL65" s="71"/>
      <c r="AM65" s="48"/>
      <c r="AN65" s="5"/>
      <c r="AO65" s="5"/>
      <c r="AP65" s="5"/>
      <c r="AQ65" s="5"/>
      <c r="AR65" s="7"/>
      <c r="AS65" s="7"/>
      <c r="AT65" s="7"/>
      <c r="AU65" s="7"/>
      <c r="AV65" s="7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  <c r="BR65"/>
      <c r="BS65"/>
      <c r="BT65"/>
      <c r="BU65"/>
      <c r="BV65"/>
      <c r="BW65"/>
      <c r="BX65"/>
      <c r="BY65"/>
      <c r="BZ65"/>
      <c r="CA65"/>
      <c r="CB65"/>
      <c r="CC65"/>
      <c r="CD65"/>
      <c r="CE65" s="1"/>
      <c r="CF65"/>
      <c r="CG65"/>
      <c r="CH65"/>
      <c r="CI65"/>
      <c r="CJ65"/>
      <c r="CK65"/>
      <c r="CL65"/>
      <c r="CM65"/>
      <c r="CN65"/>
      <c r="CO65"/>
      <c r="CP65"/>
      <c r="CQ65"/>
      <c r="CR65"/>
      <c r="CS65"/>
      <c r="CT65"/>
      <c r="CU65"/>
      <c r="CV65"/>
      <c r="CW65"/>
      <c r="CX65"/>
      <c r="CY65"/>
      <c r="CZ65"/>
      <c r="DA65"/>
      <c r="DB65"/>
      <c r="DC65"/>
      <c r="DD65"/>
      <c r="DE65"/>
      <c r="DF65"/>
      <c r="DG65"/>
      <c r="DH65"/>
      <c r="DI65"/>
      <c r="DJ65"/>
      <c r="DK65"/>
      <c r="DL65"/>
      <c r="DM65"/>
      <c r="DN65"/>
      <c r="DO65"/>
      <c r="DP65"/>
      <c r="DQ65"/>
      <c r="DR65"/>
      <c r="DS65"/>
      <c r="DT65"/>
      <c r="DU65"/>
      <c r="DV65"/>
      <c r="DW65"/>
      <c r="DX65"/>
      <c r="DY65"/>
      <c r="DZ65"/>
      <c r="EA65"/>
      <c r="EB65"/>
      <c r="EC65"/>
      <c r="ED65"/>
      <c r="EE65"/>
      <c r="EF65"/>
      <c r="EG65"/>
      <c r="EH65"/>
      <c r="EI65"/>
      <c r="EJ65"/>
      <c r="EK65"/>
      <c r="EL65"/>
      <c r="EM65"/>
      <c r="EN65"/>
      <c r="EO65"/>
      <c r="EP65"/>
      <c r="EQ65"/>
      <c r="ER65"/>
      <c r="ES65"/>
      <c r="ET65"/>
      <c r="EU65"/>
    </row>
    <row r="66" spans="1:151" ht="15" customHeight="1" x14ac:dyDescent="0.3">
      <c r="A66" s="65"/>
      <c r="B66" s="109"/>
      <c r="C66" s="110"/>
      <c r="D66" s="110"/>
      <c r="E66" s="111"/>
      <c r="F66" s="85"/>
      <c r="G66" s="86"/>
      <c r="H66" s="86"/>
      <c r="I66" s="86"/>
      <c r="J66" s="86"/>
      <c r="K66" s="86"/>
      <c r="L66" s="86"/>
      <c r="M66" s="86"/>
      <c r="N66" s="86"/>
      <c r="O66" s="86"/>
      <c r="P66" s="86"/>
      <c r="Q66" s="67">
        <f t="shared" si="0"/>
        <v>0</v>
      </c>
      <c r="R66" s="67">
        <f t="shared" si="1"/>
        <v>0</v>
      </c>
      <c r="S66" s="86"/>
      <c r="T66" s="86"/>
      <c r="U66" s="86"/>
      <c r="V66" s="86"/>
      <c r="W66" s="66">
        <f t="shared" si="2"/>
        <v>0</v>
      </c>
      <c r="X66" s="96"/>
      <c r="Y66" s="68">
        <f t="shared" si="3"/>
        <v>0</v>
      </c>
      <c r="Z66" s="68">
        <f t="shared" si="4"/>
        <v>0</v>
      </c>
      <c r="AA66" s="72"/>
      <c r="AB66" s="68">
        <f t="shared" si="7"/>
        <v>0</v>
      </c>
      <c r="AC66" s="68">
        <f t="shared" si="8"/>
        <v>0</v>
      </c>
      <c r="AD66" s="68"/>
      <c r="AE66" s="55"/>
      <c r="AF66" s="69">
        <f t="shared" si="5"/>
        <v>0</v>
      </c>
      <c r="AG66" s="86"/>
      <c r="AH66" s="108"/>
      <c r="AI66" s="108"/>
      <c r="AJ66" s="108"/>
      <c r="AK66" s="70">
        <f t="shared" si="6"/>
        <v>0</v>
      </c>
      <c r="AL66" s="71"/>
      <c r="AM66" s="48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</row>
    <row r="67" spans="1:151" s="42" customFormat="1" ht="15" customHeight="1" x14ac:dyDescent="0.3">
      <c r="A67" s="65"/>
      <c r="B67" s="109"/>
      <c r="C67" s="110"/>
      <c r="D67" s="110"/>
      <c r="E67" s="111"/>
      <c r="F67" s="85"/>
      <c r="G67" s="86"/>
      <c r="H67" s="86"/>
      <c r="I67" s="86"/>
      <c r="J67" s="86"/>
      <c r="K67" s="86"/>
      <c r="L67" s="86"/>
      <c r="M67" s="86"/>
      <c r="N67" s="86"/>
      <c r="O67" s="86"/>
      <c r="P67" s="86"/>
      <c r="Q67" s="67">
        <f t="shared" si="0"/>
        <v>0</v>
      </c>
      <c r="R67" s="67">
        <f t="shared" si="1"/>
        <v>0</v>
      </c>
      <c r="S67" s="86"/>
      <c r="T67" s="86"/>
      <c r="U67" s="86"/>
      <c r="V67" s="86"/>
      <c r="W67" s="66">
        <f t="shared" si="2"/>
        <v>0</v>
      </c>
      <c r="X67" s="98"/>
      <c r="Y67" s="68">
        <f t="shared" si="3"/>
        <v>0</v>
      </c>
      <c r="Z67" s="68">
        <f t="shared" si="4"/>
        <v>0</v>
      </c>
      <c r="AA67" s="72"/>
      <c r="AB67" s="68">
        <f t="shared" si="7"/>
        <v>0</v>
      </c>
      <c r="AC67" s="68">
        <f t="shared" si="8"/>
        <v>0</v>
      </c>
      <c r="AD67" s="68"/>
      <c r="AE67" s="55"/>
      <c r="AF67" s="69">
        <f t="shared" si="5"/>
        <v>0</v>
      </c>
      <c r="AG67" s="86"/>
      <c r="AH67" s="108"/>
      <c r="AI67" s="108"/>
      <c r="AJ67" s="108"/>
      <c r="AK67" s="70">
        <f t="shared" si="6"/>
        <v>0</v>
      </c>
      <c r="AL67" s="71"/>
      <c r="AM67" s="48"/>
      <c r="AN67" s="5"/>
      <c r="AO67" s="5"/>
      <c r="AP67" s="5"/>
      <c r="AQ67" s="5"/>
      <c r="AR67" s="7"/>
      <c r="AS67" s="7"/>
      <c r="AT67" s="7"/>
      <c r="AU67" s="7"/>
      <c r="AV67" s="7"/>
      <c r="AW67"/>
      <c r="AX67"/>
      <c r="AY67"/>
      <c r="AZ67"/>
      <c r="BA67"/>
      <c r="BB67"/>
      <c r="BC67"/>
      <c r="BD67"/>
      <c r="BE67"/>
      <c r="BF67"/>
      <c r="BG67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/>
      <c r="CG67"/>
      <c r="CH67"/>
      <c r="CI67"/>
      <c r="CJ67"/>
      <c r="CK67"/>
      <c r="CL67"/>
      <c r="CM67"/>
      <c r="CN67"/>
      <c r="CO67"/>
      <c r="CP67"/>
      <c r="CQ67"/>
      <c r="CR67"/>
      <c r="CS67"/>
      <c r="CT67"/>
      <c r="CU67"/>
      <c r="CV67"/>
      <c r="CW67"/>
      <c r="CX67"/>
      <c r="CY67"/>
      <c r="CZ67"/>
      <c r="DA67"/>
      <c r="DB67"/>
      <c r="DC67"/>
      <c r="DD67"/>
      <c r="DE67"/>
      <c r="DF67"/>
      <c r="DG67"/>
      <c r="DH67"/>
      <c r="DI67"/>
      <c r="DJ67"/>
      <c r="DK67"/>
      <c r="DL67"/>
      <c r="DM67"/>
      <c r="DN67"/>
      <c r="DO67"/>
      <c r="DP67"/>
      <c r="DQ67"/>
      <c r="DR67"/>
      <c r="DS67"/>
      <c r="DT67"/>
      <c r="DU67"/>
      <c r="DV67"/>
      <c r="DW67"/>
      <c r="DX67"/>
      <c r="DY67"/>
      <c r="DZ67"/>
      <c r="EA67"/>
      <c r="EB67"/>
      <c r="EC67"/>
      <c r="ED67"/>
      <c r="EE67"/>
      <c r="EF67"/>
      <c r="EG67"/>
      <c r="EH67"/>
      <c r="EI67"/>
      <c r="EJ67"/>
      <c r="EK67"/>
      <c r="EL67"/>
      <c r="EM67"/>
      <c r="EN67"/>
      <c r="EO67"/>
      <c r="EP67"/>
      <c r="EQ67"/>
      <c r="ER67"/>
      <c r="ES67"/>
      <c r="ET67"/>
      <c r="EU67"/>
    </row>
    <row r="68" spans="1:151" ht="15" customHeight="1" x14ac:dyDescent="0.3">
      <c r="A68" s="65"/>
      <c r="B68" s="109"/>
      <c r="C68" s="110"/>
      <c r="D68" s="110"/>
      <c r="E68" s="111"/>
      <c r="F68" s="85" t="s">
        <v>53</v>
      </c>
      <c r="G68" s="86"/>
      <c r="H68" s="86"/>
      <c r="I68" s="86"/>
      <c r="J68" s="86"/>
      <c r="K68" s="86"/>
      <c r="L68" s="86"/>
      <c r="M68" s="86"/>
      <c r="N68" s="86"/>
      <c r="O68" s="86"/>
      <c r="P68" s="89"/>
      <c r="Q68" s="67">
        <f t="shared" si="0"/>
        <v>0</v>
      </c>
      <c r="R68" s="67">
        <f t="shared" si="1"/>
        <v>0</v>
      </c>
      <c r="S68" s="86"/>
      <c r="T68" s="86"/>
      <c r="U68" s="86"/>
      <c r="V68" s="86"/>
      <c r="W68" s="66">
        <f t="shared" si="2"/>
        <v>0</v>
      </c>
      <c r="X68" s="97"/>
      <c r="Y68" s="68">
        <f t="shared" si="3"/>
        <v>0</v>
      </c>
      <c r="Z68" s="68">
        <f t="shared" si="4"/>
        <v>0</v>
      </c>
      <c r="AA68" s="72"/>
      <c r="AB68" s="68">
        <f t="shared" si="7"/>
        <v>0</v>
      </c>
      <c r="AC68" s="68">
        <f t="shared" si="8"/>
        <v>0</v>
      </c>
      <c r="AD68" s="68"/>
      <c r="AE68" s="55"/>
      <c r="AF68" s="69">
        <f t="shared" si="5"/>
        <v>0</v>
      </c>
      <c r="AG68" s="86"/>
      <c r="AH68" s="108"/>
      <c r="AI68" s="108"/>
      <c r="AJ68" s="108"/>
      <c r="AK68" s="70">
        <f t="shared" si="6"/>
        <v>0</v>
      </c>
      <c r="AL68" s="71"/>
      <c r="AM68" s="48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</row>
    <row r="69" spans="1:151" ht="15" customHeight="1" x14ac:dyDescent="0.3">
      <c r="A69" s="65"/>
      <c r="B69" s="109"/>
      <c r="C69" s="110"/>
      <c r="D69" s="110"/>
      <c r="E69" s="111"/>
      <c r="F69" s="95"/>
      <c r="G69" s="86"/>
      <c r="H69" s="86"/>
      <c r="I69" s="86"/>
      <c r="J69" s="86"/>
      <c r="K69" s="86"/>
      <c r="L69" s="86"/>
      <c r="M69" s="86"/>
      <c r="N69" s="86"/>
      <c r="O69" s="86"/>
      <c r="P69" s="89"/>
      <c r="Q69" s="67">
        <f t="shared" si="0"/>
        <v>0</v>
      </c>
      <c r="R69" s="67">
        <f t="shared" si="1"/>
        <v>0</v>
      </c>
      <c r="S69" s="86"/>
      <c r="T69" s="86"/>
      <c r="U69" s="86"/>
      <c r="V69" s="86"/>
      <c r="W69" s="66">
        <f t="shared" si="2"/>
        <v>0</v>
      </c>
      <c r="X69" s="97"/>
      <c r="Y69" s="68">
        <f t="shared" si="3"/>
        <v>0</v>
      </c>
      <c r="Z69" s="68">
        <f t="shared" si="4"/>
        <v>0</v>
      </c>
      <c r="AA69" s="72"/>
      <c r="AB69" s="68">
        <f t="shared" si="7"/>
        <v>0</v>
      </c>
      <c r="AC69" s="68">
        <f t="shared" si="8"/>
        <v>0</v>
      </c>
      <c r="AD69" s="68"/>
      <c r="AE69" s="55"/>
      <c r="AF69" s="69">
        <f t="shared" si="5"/>
        <v>0</v>
      </c>
      <c r="AG69" s="86"/>
      <c r="AH69" s="108"/>
      <c r="AI69" s="108"/>
      <c r="AJ69" s="108"/>
      <c r="AK69" s="70">
        <f t="shared" si="6"/>
        <v>0</v>
      </c>
      <c r="AL69" s="71"/>
      <c r="AM69" s="48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</row>
    <row r="70" spans="1:151" ht="15" customHeight="1" x14ac:dyDescent="0.3">
      <c r="A70" s="65"/>
      <c r="B70" s="109"/>
      <c r="C70" s="110"/>
      <c r="D70" s="110"/>
      <c r="E70" s="111"/>
      <c r="F70" s="95"/>
      <c r="G70" s="86"/>
      <c r="H70" s="86"/>
      <c r="I70" s="86"/>
      <c r="J70" s="86"/>
      <c r="K70" s="86"/>
      <c r="L70" s="86"/>
      <c r="M70" s="86"/>
      <c r="N70" s="86"/>
      <c r="O70" s="86"/>
      <c r="P70" s="89"/>
      <c r="Q70" s="67">
        <f t="shared" si="0"/>
        <v>0</v>
      </c>
      <c r="R70" s="67">
        <f t="shared" si="1"/>
        <v>0</v>
      </c>
      <c r="S70" s="86"/>
      <c r="T70" s="86"/>
      <c r="U70" s="86"/>
      <c r="V70" s="86"/>
      <c r="W70" s="66">
        <f t="shared" si="2"/>
        <v>0</v>
      </c>
      <c r="X70" s="97"/>
      <c r="Y70" s="68">
        <f t="shared" si="3"/>
        <v>0</v>
      </c>
      <c r="Z70" s="68">
        <f t="shared" si="4"/>
        <v>0</v>
      </c>
      <c r="AA70" s="72"/>
      <c r="AB70" s="68">
        <f t="shared" si="7"/>
        <v>0</v>
      </c>
      <c r="AC70" s="68">
        <f t="shared" si="8"/>
        <v>0</v>
      </c>
      <c r="AD70" s="68"/>
      <c r="AE70" s="55"/>
      <c r="AF70" s="69">
        <f t="shared" si="5"/>
        <v>0</v>
      </c>
      <c r="AG70" s="86"/>
      <c r="AH70" s="108"/>
      <c r="AI70" s="108"/>
      <c r="AJ70" s="108"/>
      <c r="AK70" s="70">
        <f t="shared" si="6"/>
        <v>0</v>
      </c>
      <c r="AL70" s="71"/>
      <c r="AM70" s="48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</row>
    <row r="71" spans="1:151" ht="15" customHeight="1" x14ac:dyDescent="0.3">
      <c r="A71" s="65"/>
      <c r="B71" s="109"/>
      <c r="C71" s="110"/>
      <c r="D71" s="110"/>
      <c r="E71" s="111"/>
      <c r="F71" s="95"/>
      <c r="G71" s="86"/>
      <c r="H71" s="86"/>
      <c r="I71" s="86"/>
      <c r="J71" s="86"/>
      <c r="K71" s="86"/>
      <c r="L71" s="86"/>
      <c r="M71" s="86"/>
      <c r="N71" s="86"/>
      <c r="O71" s="86"/>
      <c r="P71" s="89"/>
      <c r="Q71" s="67">
        <f t="shared" ref="Q71:Q75" si="9">P71*0.02</f>
        <v>0</v>
      </c>
      <c r="R71" s="67">
        <f t="shared" ref="R71:R75" si="10">P71+Q71</f>
        <v>0</v>
      </c>
      <c r="S71" s="86"/>
      <c r="T71" s="86"/>
      <c r="U71" s="86"/>
      <c r="V71" s="86"/>
      <c r="W71" s="66">
        <f t="shared" ref="W71:W75" si="11">G71+I71+K71+M71+O71+R71+S71+T71+U71+V71</f>
        <v>0</v>
      </c>
      <c r="X71" s="97"/>
      <c r="Y71" s="68">
        <f t="shared" ref="Y71:Y75" si="12">X71*0.02</f>
        <v>0</v>
      </c>
      <c r="Z71" s="68">
        <f t="shared" ref="Z71:Z75" si="13">X71+Y71</f>
        <v>0</v>
      </c>
      <c r="AA71" s="72"/>
      <c r="AB71" s="68">
        <f t="shared" si="7"/>
        <v>0</v>
      </c>
      <c r="AC71" s="68">
        <f t="shared" si="8"/>
        <v>0</v>
      </c>
      <c r="AD71" s="68"/>
      <c r="AE71" s="55"/>
      <c r="AF71" s="69">
        <f t="shared" si="5"/>
        <v>0</v>
      </c>
      <c r="AG71" s="86"/>
      <c r="AH71" s="108"/>
      <c r="AI71" s="108"/>
      <c r="AJ71" s="108"/>
      <c r="AK71" s="70">
        <f t="shared" ref="AK71:AK136" si="14">AF71-AG71-AH71-AI71-AJ71</f>
        <v>0</v>
      </c>
      <c r="AL71" s="71"/>
      <c r="AM71" s="48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</row>
    <row r="72" spans="1:151" ht="15" customHeight="1" x14ac:dyDescent="0.3">
      <c r="A72" s="65"/>
      <c r="B72" s="109"/>
      <c r="C72" s="110"/>
      <c r="D72" s="110"/>
      <c r="E72" s="111"/>
      <c r="F72" s="95"/>
      <c r="G72" s="86"/>
      <c r="H72" s="86"/>
      <c r="I72" s="86"/>
      <c r="J72" s="86"/>
      <c r="K72" s="86"/>
      <c r="L72" s="86"/>
      <c r="M72" s="86"/>
      <c r="N72" s="86"/>
      <c r="O72" s="86"/>
      <c r="P72" s="89"/>
      <c r="Q72" s="67">
        <f t="shared" si="9"/>
        <v>0</v>
      </c>
      <c r="R72" s="67">
        <f t="shared" si="10"/>
        <v>0</v>
      </c>
      <c r="S72" s="86"/>
      <c r="T72" s="86"/>
      <c r="U72" s="86"/>
      <c r="V72" s="86"/>
      <c r="W72" s="66">
        <f t="shared" si="11"/>
        <v>0</v>
      </c>
      <c r="X72" s="97"/>
      <c r="Y72" s="68">
        <f t="shared" si="12"/>
        <v>0</v>
      </c>
      <c r="Z72" s="68">
        <f t="shared" si="13"/>
        <v>0</v>
      </c>
      <c r="AA72" s="72"/>
      <c r="AB72" s="68">
        <f t="shared" si="7"/>
        <v>0</v>
      </c>
      <c r="AC72" s="68">
        <f t="shared" si="8"/>
        <v>0</v>
      </c>
      <c r="AD72" s="68"/>
      <c r="AE72" s="55"/>
      <c r="AF72" s="69">
        <f t="shared" si="5"/>
        <v>0</v>
      </c>
      <c r="AG72" s="86"/>
      <c r="AH72" s="108"/>
      <c r="AI72" s="108"/>
      <c r="AJ72" s="108"/>
      <c r="AK72" s="70">
        <f t="shared" si="14"/>
        <v>0</v>
      </c>
      <c r="AL72" s="71"/>
      <c r="AM72" s="48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</row>
    <row r="73" spans="1:151" ht="15" customHeight="1" thickBot="1" x14ac:dyDescent="0.35">
      <c r="A73" s="65"/>
      <c r="B73" s="109"/>
      <c r="C73" s="110"/>
      <c r="D73" s="110"/>
      <c r="E73" s="111"/>
      <c r="F73" s="95"/>
      <c r="G73" s="86"/>
      <c r="H73" s="86"/>
      <c r="I73" s="86"/>
      <c r="J73" s="86"/>
      <c r="K73" s="86"/>
      <c r="L73" s="86"/>
      <c r="M73" s="86"/>
      <c r="N73" s="86"/>
      <c r="O73" s="86"/>
      <c r="P73" s="89"/>
      <c r="Q73" s="67">
        <f t="shared" si="9"/>
        <v>0</v>
      </c>
      <c r="R73" s="67">
        <f t="shared" si="10"/>
        <v>0</v>
      </c>
      <c r="S73" s="86"/>
      <c r="T73" s="86"/>
      <c r="U73" s="86"/>
      <c r="V73" s="86"/>
      <c r="W73" s="66">
        <f t="shared" si="11"/>
        <v>0</v>
      </c>
      <c r="X73" s="97"/>
      <c r="Y73" s="68">
        <f t="shared" si="12"/>
        <v>0</v>
      </c>
      <c r="Z73" s="68">
        <f t="shared" si="13"/>
        <v>0</v>
      </c>
      <c r="AA73" s="72"/>
      <c r="AB73" s="68">
        <f t="shared" si="7"/>
        <v>0</v>
      </c>
      <c r="AC73" s="68">
        <f t="shared" si="8"/>
        <v>0</v>
      </c>
      <c r="AD73" s="68"/>
      <c r="AE73" s="55"/>
      <c r="AF73" s="69">
        <f t="shared" si="5"/>
        <v>0</v>
      </c>
      <c r="AG73" s="86"/>
      <c r="AH73" s="108"/>
      <c r="AI73" s="108"/>
      <c r="AJ73" s="108"/>
      <c r="AK73" s="70">
        <f t="shared" si="14"/>
        <v>0</v>
      </c>
      <c r="AL73" s="71"/>
      <c r="AM73" s="48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</row>
    <row r="74" spans="1:151" ht="15" customHeight="1" thickBot="1" x14ac:dyDescent="0.35">
      <c r="A74" s="76" t="s">
        <v>54</v>
      </c>
      <c r="B74" s="77"/>
      <c r="C74" s="78"/>
      <c r="D74" s="77"/>
      <c r="E74" s="79"/>
      <c r="F74" s="80"/>
      <c r="G74" s="81">
        <f>SUM(G7:G73)</f>
        <v>0</v>
      </c>
      <c r="H74" s="81"/>
      <c r="I74" s="81">
        <f t="shared" ref="I74:AK74" si="15">SUM(I7:I73)</f>
        <v>0</v>
      </c>
      <c r="J74" s="81">
        <f t="shared" si="15"/>
        <v>0</v>
      </c>
      <c r="K74" s="81">
        <f t="shared" si="15"/>
        <v>0</v>
      </c>
      <c r="L74" s="81">
        <f t="shared" si="15"/>
        <v>0</v>
      </c>
      <c r="M74" s="81">
        <f t="shared" si="15"/>
        <v>0</v>
      </c>
      <c r="N74" s="81">
        <f t="shared" si="15"/>
        <v>0</v>
      </c>
      <c r="O74" s="81">
        <f t="shared" si="15"/>
        <v>0</v>
      </c>
      <c r="P74" s="81">
        <f t="shared" si="15"/>
        <v>0</v>
      </c>
      <c r="Q74" s="81">
        <f t="shared" si="15"/>
        <v>0</v>
      </c>
      <c r="R74" s="81">
        <f t="shared" si="15"/>
        <v>0</v>
      </c>
      <c r="S74" s="81">
        <f t="shared" si="15"/>
        <v>0</v>
      </c>
      <c r="T74" s="81">
        <f t="shared" si="15"/>
        <v>0</v>
      </c>
      <c r="U74" s="81">
        <f t="shared" si="15"/>
        <v>0</v>
      </c>
      <c r="V74" s="81">
        <f t="shared" si="15"/>
        <v>0</v>
      </c>
      <c r="W74" s="81">
        <f t="shared" si="15"/>
        <v>0</v>
      </c>
      <c r="X74" s="81">
        <f t="shared" si="15"/>
        <v>0</v>
      </c>
      <c r="Y74" s="81">
        <f t="shared" si="15"/>
        <v>0</v>
      </c>
      <c r="Z74" s="81">
        <f t="shared" si="15"/>
        <v>0</v>
      </c>
      <c r="AA74" s="81">
        <f t="shared" si="15"/>
        <v>0</v>
      </c>
      <c r="AB74" s="81">
        <f t="shared" si="15"/>
        <v>0</v>
      </c>
      <c r="AC74" s="81">
        <f t="shared" si="15"/>
        <v>0</v>
      </c>
      <c r="AD74" s="81">
        <f t="shared" si="15"/>
        <v>0</v>
      </c>
      <c r="AE74" s="81">
        <f t="shared" si="15"/>
        <v>0</v>
      </c>
      <c r="AF74" s="81">
        <f t="shared" si="15"/>
        <v>0</v>
      </c>
      <c r="AG74" s="81">
        <f t="shared" si="15"/>
        <v>0</v>
      </c>
      <c r="AH74" s="81">
        <f t="shared" si="15"/>
        <v>0</v>
      </c>
      <c r="AI74" s="81">
        <f t="shared" si="15"/>
        <v>0</v>
      </c>
      <c r="AJ74" s="81">
        <f t="shared" si="15"/>
        <v>0</v>
      </c>
      <c r="AK74" s="81">
        <f t="shared" si="15"/>
        <v>0</v>
      </c>
      <c r="AL74" s="82" t="s">
        <v>54</v>
      </c>
      <c r="AM74" s="83"/>
      <c r="AN74" s="5"/>
      <c r="AO74" s="5"/>
      <c r="AP74" s="5"/>
      <c r="AQ74" s="5"/>
      <c r="AR74" s="7"/>
      <c r="AS74" s="7"/>
      <c r="AT74" s="7"/>
      <c r="AU74" s="7"/>
      <c r="AV74" s="7"/>
      <c r="CE74" s="1"/>
    </row>
    <row r="75" spans="1:151" x14ac:dyDescent="0.3">
      <c r="AG75" s="84"/>
    </row>
    <row r="76" spans="1:151" x14ac:dyDescent="0.3">
      <c r="AG76" s="84"/>
    </row>
    <row r="77" spans="1:151" x14ac:dyDescent="0.3">
      <c r="AG77" s="84"/>
    </row>
    <row r="78" spans="1:151" x14ac:dyDescent="0.3">
      <c r="AG78" s="84"/>
    </row>
    <row r="79" spans="1:151" x14ac:dyDescent="0.3">
      <c r="AG79" s="84"/>
    </row>
    <row r="80" spans="1:151" x14ac:dyDescent="0.3">
      <c r="AG80" s="84"/>
    </row>
    <row r="81" spans="33:33" x14ac:dyDescent="0.3">
      <c r="AG81" s="84"/>
    </row>
    <row r="82" spans="33:33" x14ac:dyDescent="0.3">
      <c r="AG82" s="84"/>
    </row>
    <row r="83" spans="33:33" x14ac:dyDescent="0.3">
      <c r="AG83" s="84"/>
    </row>
    <row r="84" spans="33:33" x14ac:dyDescent="0.3">
      <c r="AG84" s="84"/>
    </row>
    <row r="85" spans="33:33" x14ac:dyDescent="0.3">
      <c r="AG85" s="84"/>
    </row>
    <row r="86" spans="33:33" x14ac:dyDescent="0.3">
      <c r="AG86" s="84"/>
    </row>
    <row r="87" spans="33:33" x14ac:dyDescent="0.3">
      <c r="AG87" s="84"/>
    </row>
    <row r="88" spans="33:33" x14ac:dyDescent="0.3">
      <c r="AG88" s="84"/>
    </row>
    <row r="89" spans="33:33" x14ac:dyDescent="0.3">
      <c r="AG89" s="84"/>
    </row>
    <row r="90" spans="33:33" x14ac:dyDescent="0.3">
      <c r="AG90" s="84"/>
    </row>
    <row r="91" spans="33:33" x14ac:dyDescent="0.3">
      <c r="AG91" s="84"/>
    </row>
    <row r="92" spans="33:33" x14ac:dyDescent="0.3">
      <c r="AG92" s="84"/>
    </row>
    <row r="93" spans="33:33" x14ac:dyDescent="0.3">
      <c r="AG93" s="84"/>
    </row>
    <row r="94" spans="33:33" x14ac:dyDescent="0.3">
      <c r="AG94" s="84"/>
    </row>
    <row r="95" spans="33:33" x14ac:dyDescent="0.3">
      <c r="AG95" s="84"/>
    </row>
    <row r="96" spans="33:33" x14ac:dyDescent="0.3">
      <c r="AG96" s="84"/>
    </row>
    <row r="97" spans="33:33" x14ac:dyDescent="0.3">
      <c r="AG97" s="84"/>
    </row>
    <row r="98" spans="33:33" x14ac:dyDescent="0.3">
      <c r="AG98" s="84"/>
    </row>
    <row r="99" spans="33:33" x14ac:dyDescent="0.3">
      <c r="AG99" s="84"/>
    </row>
    <row r="100" spans="33:33" x14ac:dyDescent="0.3">
      <c r="AG100" s="84"/>
    </row>
    <row r="101" spans="33:33" x14ac:dyDescent="0.3">
      <c r="AG101" s="84"/>
    </row>
    <row r="102" spans="33:33" x14ac:dyDescent="0.3">
      <c r="AG102" s="84"/>
    </row>
    <row r="103" spans="33:33" x14ac:dyDescent="0.3">
      <c r="AG103" s="84"/>
    </row>
    <row r="104" spans="33:33" x14ac:dyDescent="0.3">
      <c r="AG104" s="84"/>
    </row>
    <row r="105" spans="33:33" x14ac:dyDescent="0.3">
      <c r="AG105" s="84"/>
    </row>
    <row r="106" spans="33:33" x14ac:dyDescent="0.3">
      <c r="AG106" s="84"/>
    </row>
    <row r="107" spans="33:33" x14ac:dyDescent="0.3">
      <c r="AG107" s="84"/>
    </row>
    <row r="108" spans="33:33" x14ac:dyDescent="0.3">
      <c r="AG108" s="84"/>
    </row>
    <row r="109" spans="33:33" x14ac:dyDescent="0.3">
      <c r="AG109" s="84"/>
    </row>
    <row r="110" spans="33:33" x14ac:dyDescent="0.3">
      <c r="AG110" s="84"/>
    </row>
    <row r="111" spans="33:33" x14ac:dyDescent="0.3">
      <c r="AG111" s="84"/>
    </row>
    <row r="112" spans="33:33" x14ac:dyDescent="0.3">
      <c r="AG112" s="84"/>
    </row>
    <row r="113" spans="33:33" x14ac:dyDescent="0.3">
      <c r="AG113" s="84"/>
    </row>
    <row r="114" spans="33:33" x14ac:dyDescent="0.3">
      <c r="AG114" s="84"/>
    </row>
    <row r="115" spans="33:33" x14ac:dyDescent="0.3">
      <c r="AG115" s="84"/>
    </row>
    <row r="116" spans="33:33" x14ac:dyDescent="0.3">
      <c r="AG116" s="84"/>
    </row>
    <row r="117" spans="33:33" x14ac:dyDescent="0.3">
      <c r="AG117" s="84"/>
    </row>
    <row r="118" spans="33:33" x14ac:dyDescent="0.3">
      <c r="AG118" s="84"/>
    </row>
    <row r="119" spans="33:33" x14ac:dyDescent="0.3">
      <c r="AG119" s="84"/>
    </row>
    <row r="120" spans="33:33" x14ac:dyDescent="0.3">
      <c r="AG120" s="84"/>
    </row>
    <row r="121" spans="33:33" x14ac:dyDescent="0.3">
      <c r="AG121" s="84"/>
    </row>
    <row r="122" spans="33:33" x14ac:dyDescent="0.3">
      <c r="AG122" s="84"/>
    </row>
    <row r="123" spans="33:33" x14ac:dyDescent="0.3">
      <c r="AG123" s="84"/>
    </row>
    <row r="124" spans="33:33" x14ac:dyDescent="0.3">
      <c r="AG124" s="84"/>
    </row>
    <row r="125" spans="33:33" x14ac:dyDescent="0.3">
      <c r="AG125" s="84"/>
    </row>
    <row r="126" spans="33:33" x14ac:dyDescent="0.3">
      <c r="AG126" s="84"/>
    </row>
    <row r="127" spans="33:33" x14ac:dyDescent="0.3">
      <c r="AG127" s="84"/>
    </row>
    <row r="128" spans="33:33" x14ac:dyDescent="0.3">
      <c r="AG128" s="84"/>
    </row>
    <row r="129" spans="33:33" x14ac:dyDescent="0.3">
      <c r="AG129" s="84"/>
    </row>
    <row r="130" spans="33:33" x14ac:dyDescent="0.3">
      <c r="AG130" s="84"/>
    </row>
    <row r="131" spans="33:33" x14ac:dyDescent="0.3">
      <c r="AG131" s="84"/>
    </row>
    <row r="132" spans="33:33" x14ac:dyDescent="0.3">
      <c r="AG132" s="84"/>
    </row>
    <row r="133" spans="33:33" x14ac:dyDescent="0.3">
      <c r="AG133" s="84"/>
    </row>
    <row r="134" spans="33:33" x14ac:dyDescent="0.3">
      <c r="AG134" s="84"/>
    </row>
    <row r="135" spans="33:33" x14ac:dyDescent="0.3">
      <c r="AG135" s="84"/>
    </row>
    <row r="136" spans="33:33" x14ac:dyDescent="0.3">
      <c r="AG136" s="84"/>
    </row>
    <row r="137" spans="33:33" x14ac:dyDescent="0.3">
      <c r="AG137" s="84"/>
    </row>
    <row r="138" spans="33:33" x14ac:dyDescent="0.3">
      <c r="AG138" s="84"/>
    </row>
    <row r="139" spans="33:33" x14ac:dyDescent="0.3">
      <c r="AG139" s="84"/>
    </row>
    <row r="140" spans="33:33" x14ac:dyDescent="0.3">
      <c r="AG140" s="84"/>
    </row>
    <row r="141" spans="33:33" x14ac:dyDescent="0.3">
      <c r="AG141" s="84"/>
    </row>
    <row r="142" spans="33:33" x14ac:dyDescent="0.3">
      <c r="AG142" s="84"/>
    </row>
    <row r="143" spans="33:33" x14ac:dyDescent="0.3">
      <c r="AG143" s="84"/>
    </row>
    <row r="144" spans="33:33" x14ac:dyDescent="0.3">
      <c r="AG144" s="84"/>
    </row>
    <row r="145" spans="33:33" x14ac:dyDescent="0.3">
      <c r="AG145" s="84"/>
    </row>
    <row r="146" spans="33:33" x14ac:dyDescent="0.3">
      <c r="AG146" s="84"/>
    </row>
    <row r="147" spans="33:33" x14ac:dyDescent="0.3">
      <c r="AG147" s="84"/>
    </row>
    <row r="148" spans="33:33" x14ac:dyDescent="0.3">
      <c r="AG148" s="84"/>
    </row>
    <row r="149" spans="33:33" x14ac:dyDescent="0.3">
      <c r="AG149" s="84"/>
    </row>
    <row r="150" spans="33:33" x14ac:dyDescent="0.3">
      <c r="AG150" s="84"/>
    </row>
    <row r="151" spans="33:33" x14ac:dyDescent="0.3">
      <c r="AG151" s="84"/>
    </row>
    <row r="152" spans="33:33" x14ac:dyDescent="0.3">
      <c r="AG152" s="84"/>
    </row>
    <row r="153" spans="33:33" x14ac:dyDescent="0.3">
      <c r="AG153" s="84"/>
    </row>
    <row r="154" spans="33:33" x14ac:dyDescent="0.3">
      <c r="AG154" s="84"/>
    </row>
    <row r="155" spans="33:33" x14ac:dyDescent="0.3">
      <c r="AG155" s="84"/>
    </row>
    <row r="156" spans="33:33" x14ac:dyDescent="0.3">
      <c r="AG156" s="84"/>
    </row>
    <row r="157" spans="33:33" x14ac:dyDescent="0.3">
      <c r="AG157" s="84"/>
    </row>
    <row r="158" spans="33:33" x14ac:dyDescent="0.3">
      <c r="AG158" s="84"/>
    </row>
    <row r="159" spans="33:33" x14ac:dyDescent="0.3">
      <c r="AG159" s="84"/>
    </row>
    <row r="160" spans="33:33" x14ac:dyDescent="0.3">
      <c r="AG160" s="84"/>
    </row>
    <row r="161" spans="33:33" x14ac:dyDescent="0.3">
      <c r="AG161" s="84"/>
    </row>
    <row r="162" spans="33:33" x14ac:dyDescent="0.3">
      <c r="AG162" s="84"/>
    </row>
    <row r="163" spans="33:33" x14ac:dyDescent="0.3">
      <c r="AG163" s="84"/>
    </row>
    <row r="164" spans="33:33" x14ac:dyDescent="0.3">
      <c r="AG164" s="84"/>
    </row>
    <row r="165" spans="33:33" x14ac:dyDescent="0.3">
      <c r="AG165" s="84"/>
    </row>
    <row r="166" spans="33:33" x14ac:dyDescent="0.3">
      <c r="AG166" s="84"/>
    </row>
    <row r="167" spans="33:33" x14ac:dyDescent="0.3">
      <c r="AG167" s="84"/>
    </row>
    <row r="168" spans="33:33" x14ac:dyDescent="0.3">
      <c r="AG168" s="84"/>
    </row>
    <row r="169" spans="33:33" x14ac:dyDescent="0.3">
      <c r="AG169" s="84"/>
    </row>
    <row r="170" spans="33:33" x14ac:dyDescent="0.3">
      <c r="AG170" s="84"/>
    </row>
    <row r="171" spans="33:33" x14ac:dyDescent="0.3">
      <c r="AG171" s="84"/>
    </row>
    <row r="172" spans="33:33" x14ac:dyDescent="0.3">
      <c r="AG172" s="84"/>
    </row>
    <row r="173" spans="33:33" x14ac:dyDescent="0.3">
      <c r="AG173" s="84"/>
    </row>
    <row r="174" spans="33:33" x14ac:dyDescent="0.3">
      <c r="AG174" s="84"/>
    </row>
    <row r="175" spans="33:33" x14ac:dyDescent="0.3">
      <c r="AG175" s="84"/>
    </row>
    <row r="176" spans="33:33" x14ac:dyDescent="0.3">
      <c r="AG176" s="84"/>
    </row>
    <row r="177" spans="33:33" x14ac:dyDescent="0.3">
      <c r="AG177" s="84"/>
    </row>
    <row r="178" spans="33:33" x14ac:dyDescent="0.3">
      <c r="AG178" s="84"/>
    </row>
    <row r="179" spans="33:33" x14ac:dyDescent="0.3">
      <c r="AG179" s="84"/>
    </row>
    <row r="180" spans="33:33" x14ac:dyDescent="0.3">
      <c r="AG180" s="84"/>
    </row>
    <row r="181" spans="33:33" x14ac:dyDescent="0.3">
      <c r="AG181" s="84"/>
    </row>
    <row r="182" spans="33:33" x14ac:dyDescent="0.3">
      <c r="AG182" s="84"/>
    </row>
    <row r="183" spans="33:33" x14ac:dyDescent="0.3">
      <c r="AG183" s="84"/>
    </row>
    <row r="184" spans="33:33" x14ac:dyDescent="0.3">
      <c r="AG184" s="84"/>
    </row>
    <row r="185" spans="33:33" x14ac:dyDescent="0.3">
      <c r="AG185" s="84"/>
    </row>
    <row r="186" spans="33:33" x14ac:dyDescent="0.3">
      <c r="AG186" s="84"/>
    </row>
    <row r="187" spans="33:33" x14ac:dyDescent="0.3">
      <c r="AG187" s="84"/>
    </row>
    <row r="188" spans="33:33" x14ac:dyDescent="0.3">
      <c r="AG188" s="84"/>
    </row>
    <row r="189" spans="33:33" x14ac:dyDescent="0.3">
      <c r="AG189" s="84"/>
    </row>
    <row r="190" spans="33:33" x14ac:dyDescent="0.3">
      <c r="AG190" s="84"/>
    </row>
    <row r="191" spans="33:33" x14ac:dyDescent="0.3">
      <c r="AG191" s="84"/>
    </row>
    <row r="192" spans="33:33" x14ac:dyDescent="0.3">
      <c r="AG192" s="84"/>
    </row>
    <row r="193" spans="33:33" x14ac:dyDescent="0.3">
      <c r="AG193" s="84"/>
    </row>
    <row r="194" spans="33:33" x14ac:dyDescent="0.3">
      <c r="AG194" s="84"/>
    </row>
    <row r="195" spans="33:33" x14ac:dyDescent="0.3">
      <c r="AG195" s="84"/>
    </row>
    <row r="196" spans="33:33" x14ac:dyDescent="0.3">
      <c r="AG196" s="84"/>
    </row>
    <row r="197" spans="33:33" x14ac:dyDescent="0.3">
      <c r="AG197" s="84"/>
    </row>
    <row r="198" spans="33:33" x14ac:dyDescent="0.3">
      <c r="AG198" s="84"/>
    </row>
    <row r="199" spans="33:33" x14ac:dyDescent="0.3">
      <c r="AG199" s="84"/>
    </row>
    <row r="200" spans="33:33" x14ac:dyDescent="0.3">
      <c r="AG200" s="84"/>
    </row>
    <row r="201" spans="33:33" x14ac:dyDescent="0.3">
      <c r="AG201" s="84"/>
    </row>
    <row r="202" spans="33:33" x14ac:dyDescent="0.3">
      <c r="AG202" s="84"/>
    </row>
    <row r="203" spans="33:33" x14ac:dyDescent="0.3">
      <c r="AG203" s="84"/>
    </row>
    <row r="204" spans="33:33" x14ac:dyDescent="0.3">
      <c r="AG204" s="84"/>
    </row>
    <row r="205" spans="33:33" x14ac:dyDescent="0.3">
      <c r="AG205" s="84"/>
    </row>
    <row r="206" spans="33:33" x14ac:dyDescent="0.3">
      <c r="AG206" s="84"/>
    </row>
    <row r="207" spans="33:33" x14ac:dyDescent="0.3">
      <c r="AG207" s="84"/>
    </row>
    <row r="208" spans="33:33" x14ac:dyDescent="0.3">
      <c r="AG208" s="84"/>
    </row>
    <row r="209" spans="33:33" x14ac:dyDescent="0.3">
      <c r="AG209" s="84"/>
    </row>
    <row r="210" spans="33:33" x14ac:dyDescent="0.3">
      <c r="AG210" s="84"/>
    </row>
    <row r="211" spans="33:33" x14ac:dyDescent="0.3">
      <c r="AG211" s="84"/>
    </row>
    <row r="212" spans="33:33" x14ac:dyDescent="0.3">
      <c r="AG212" s="84"/>
    </row>
    <row r="213" spans="33:33" x14ac:dyDescent="0.3">
      <c r="AG213" s="84"/>
    </row>
    <row r="214" spans="33:33" x14ac:dyDescent="0.3">
      <c r="AG214" s="84"/>
    </row>
    <row r="215" spans="33:33" x14ac:dyDescent="0.3">
      <c r="AG215" s="84"/>
    </row>
    <row r="216" spans="33:33" x14ac:dyDescent="0.3">
      <c r="AG216" s="84"/>
    </row>
    <row r="217" spans="33:33" x14ac:dyDescent="0.3">
      <c r="AG217" s="84"/>
    </row>
    <row r="218" spans="33:33" x14ac:dyDescent="0.3">
      <c r="AG218" s="84"/>
    </row>
    <row r="219" spans="33:33" x14ac:dyDescent="0.3">
      <c r="AG219" s="84"/>
    </row>
    <row r="220" spans="33:33" x14ac:dyDescent="0.3">
      <c r="AG220" s="84"/>
    </row>
    <row r="221" spans="33:33" x14ac:dyDescent="0.3">
      <c r="AG221" s="84"/>
    </row>
    <row r="222" spans="33:33" x14ac:dyDescent="0.3">
      <c r="AG222" s="84"/>
    </row>
    <row r="223" spans="33:33" x14ac:dyDescent="0.3">
      <c r="AG223" s="84"/>
    </row>
    <row r="224" spans="33:33" x14ac:dyDescent="0.3">
      <c r="AG224" s="84"/>
    </row>
    <row r="225" spans="33:33" x14ac:dyDescent="0.3">
      <c r="AG225" s="84"/>
    </row>
    <row r="226" spans="33:33" x14ac:dyDescent="0.3">
      <c r="AG226" s="84"/>
    </row>
    <row r="227" spans="33:33" x14ac:dyDescent="0.3">
      <c r="AG227" s="84"/>
    </row>
    <row r="228" spans="33:33" x14ac:dyDescent="0.3">
      <c r="AG228" s="84"/>
    </row>
    <row r="229" spans="33:33" x14ac:dyDescent="0.3">
      <c r="AG229" s="84"/>
    </row>
    <row r="230" spans="33:33" x14ac:dyDescent="0.3">
      <c r="AG230" s="84"/>
    </row>
    <row r="231" spans="33:33" x14ac:dyDescent="0.3">
      <c r="AG231" s="84"/>
    </row>
    <row r="232" spans="33:33" x14ac:dyDescent="0.3">
      <c r="AG232" s="84"/>
    </row>
    <row r="233" spans="33:33" x14ac:dyDescent="0.3">
      <c r="AG233" s="84"/>
    </row>
    <row r="234" spans="33:33" x14ac:dyDescent="0.3">
      <c r="AG234" s="84"/>
    </row>
    <row r="235" spans="33:33" x14ac:dyDescent="0.3">
      <c r="AG235" s="84"/>
    </row>
    <row r="236" spans="33:33" x14ac:dyDescent="0.3">
      <c r="AG236" s="84"/>
    </row>
    <row r="237" spans="33:33" x14ac:dyDescent="0.3">
      <c r="AG237" s="84"/>
    </row>
    <row r="238" spans="33:33" x14ac:dyDescent="0.3">
      <c r="AG238" s="84"/>
    </row>
    <row r="239" spans="33:33" x14ac:dyDescent="0.3">
      <c r="AG239" s="84"/>
    </row>
    <row r="240" spans="33:33" x14ac:dyDescent="0.3">
      <c r="AG240" s="84"/>
    </row>
    <row r="241" spans="33:33" x14ac:dyDescent="0.3">
      <c r="AG241" s="84"/>
    </row>
    <row r="242" spans="33:33" x14ac:dyDescent="0.3">
      <c r="AG242" s="84"/>
    </row>
    <row r="243" spans="33:33" x14ac:dyDescent="0.3">
      <c r="AG243" s="84"/>
    </row>
    <row r="244" spans="33:33" x14ac:dyDescent="0.3">
      <c r="AG244" s="84"/>
    </row>
    <row r="245" spans="33:33" x14ac:dyDescent="0.3">
      <c r="AG245" s="84"/>
    </row>
    <row r="246" spans="33:33" x14ac:dyDescent="0.3">
      <c r="AG246" s="84"/>
    </row>
    <row r="247" spans="33:33" x14ac:dyDescent="0.3">
      <c r="AG247" s="84"/>
    </row>
    <row r="248" spans="33:33" x14ac:dyDescent="0.3">
      <c r="AG248" s="84"/>
    </row>
    <row r="249" spans="33:33" x14ac:dyDescent="0.3">
      <c r="AG249" s="84"/>
    </row>
    <row r="250" spans="33:33" x14ac:dyDescent="0.3">
      <c r="AG250" s="84"/>
    </row>
    <row r="251" spans="33:33" x14ac:dyDescent="0.3">
      <c r="AG251" s="84"/>
    </row>
    <row r="252" spans="33:33" x14ac:dyDescent="0.3">
      <c r="AG252" s="84"/>
    </row>
    <row r="253" spans="33:33" x14ac:dyDescent="0.3">
      <c r="AG253" s="84"/>
    </row>
    <row r="254" spans="33:33" x14ac:dyDescent="0.3">
      <c r="AG254" s="84"/>
    </row>
    <row r="255" spans="33:33" x14ac:dyDescent="0.3">
      <c r="AG255" s="84"/>
    </row>
    <row r="256" spans="33:33" x14ac:dyDescent="0.3">
      <c r="AG256" s="84"/>
    </row>
    <row r="257" spans="33:33" x14ac:dyDescent="0.3">
      <c r="AG257" s="84"/>
    </row>
    <row r="258" spans="33:33" x14ac:dyDescent="0.3">
      <c r="AG258" s="84"/>
    </row>
    <row r="259" spans="33:33" x14ac:dyDescent="0.3">
      <c r="AG259" s="84"/>
    </row>
    <row r="260" spans="33:33" x14ac:dyDescent="0.3">
      <c r="AG260" s="84"/>
    </row>
    <row r="261" spans="33:33" x14ac:dyDescent="0.3">
      <c r="AG261" s="84"/>
    </row>
    <row r="262" spans="33:33" x14ac:dyDescent="0.3">
      <c r="AG262" s="84"/>
    </row>
    <row r="263" spans="33:33" x14ac:dyDescent="0.3">
      <c r="AG263" s="84"/>
    </row>
    <row r="264" spans="33:33" x14ac:dyDescent="0.3">
      <c r="AG264" s="84"/>
    </row>
    <row r="265" spans="33:33" x14ac:dyDescent="0.3">
      <c r="AG265" s="84"/>
    </row>
    <row r="266" spans="33:33" x14ac:dyDescent="0.3">
      <c r="AG266" s="84"/>
    </row>
    <row r="267" spans="33:33" x14ac:dyDescent="0.3">
      <c r="AG267" s="84"/>
    </row>
    <row r="268" spans="33:33" x14ac:dyDescent="0.3">
      <c r="AG268" s="84"/>
    </row>
    <row r="269" spans="33:33" x14ac:dyDescent="0.3">
      <c r="AG269" s="84"/>
    </row>
    <row r="270" spans="33:33" x14ac:dyDescent="0.3">
      <c r="AG270" s="84"/>
    </row>
    <row r="271" spans="33:33" x14ac:dyDescent="0.3">
      <c r="AG271" s="84"/>
    </row>
    <row r="272" spans="33:33" x14ac:dyDescent="0.3">
      <c r="AG272" s="84"/>
    </row>
    <row r="273" spans="33:33" x14ac:dyDescent="0.3">
      <c r="AG273" s="84"/>
    </row>
    <row r="274" spans="33:33" x14ac:dyDescent="0.3">
      <c r="AG274" s="84"/>
    </row>
    <row r="275" spans="33:33" x14ac:dyDescent="0.3">
      <c r="AG275" s="84"/>
    </row>
    <row r="276" spans="33:33" x14ac:dyDescent="0.3">
      <c r="AG276" s="84"/>
    </row>
    <row r="277" spans="33:33" x14ac:dyDescent="0.3">
      <c r="AG277" s="84"/>
    </row>
    <row r="278" spans="33:33" x14ac:dyDescent="0.3">
      <c r="AG278" s="84"/>
    </row>
    <row r="279" spans="33:33" x14ac:dyDescent="0.3">
      <c r="AG279" s="84"/>
    </row>
    <row r="280" spans="33:33" x14ac:dyDescent="0.3">
      <c r="AG280" s="84"/>
    </row>
    <row r="281" spans="33:33" x14ac:dyDescent="0.3">
      <c r="AG281" s="84"/>
    </row>
    <row r="282" spans="33:33" x14ac:dyDescent="0.3">
      <c r="AG282" s="84"/>
    </row>
    <row r="283" spans="33:33" x14ac:dyDescent="0.3">
      <c r="AG283" s="84"/>
    </row>
    <row r="284" spans="33:33" x14ac:dyDescent="0.3">
      <c r="AG284" s="84"/>
    </row>
    <row r="285" spans="33:33" x14ac:dyDescent="0.3">
      <c r="AG285" s="84"/>
    </row>
    <row r="286" spans="33:33" x14ac:dyDescent="0.3">
      <c r="AG286" s="84"/>
    </row>
    <row r="287" spans="33:33" x14ac:dyDescent="0.3">
      <c r="AG287" s="84"/>
    </row>
    <row r="288" spans="33:33" x14ac:dyDescent="0.3">
      <c r="AG288" s="84"/>
    </row>
    <row r="289" spans="33:33" x14ac:dyDescent="0.3">
      <c r="AG289" s="84"/>
    </row>
    <row r="290" spans="33:33" x14ac:dyDescent="0.3">
      <c r="AG290" s="84"/>
    </row>
    <row r="291" spans="33:33" x14ac:dyDescent="0.3">
      <c r="AG291" s="84"/>
    </row>
    <row r="292" spans="33:33" x14ac:dyDescent="0.3">
      <c r="AG292" s="84"/>
    </row>
    <row r="293" spans="33:33" x14ac:dyDescent="0.3">
      <c r="AG293" s="84"/>
    </row>
    <row r="294" spans="33:33" x14ac:dyDescent="0.3">
      <c r="AG294" s="84"/>
    </row>
    <row r="295" spans="33:33" x14ac:dyDescent="0.3">
      <c r="AG295" s="84"/>
    </row>
    <row r="296" spans="33:33" x14ac:dyDescent="0.3">
      <c r="AG296" s="84"/>
    </row>
    <row r="297" spans="33:33" x14ac:dyDescent="0.3">
      <c r="AG297" s="84"/>
    </row>
    <row r="298" spans="33:33" x14ac:dyDescent="0.3">
      <c r="AG298" s="84"/>
    </row>
    <row r="299" spans="33:33" x14ac:dyDescent="0.3">
      <c r="AG299" s="84"/>
    </row>
    <row r="300" spans="33:33" x14ac:dyDescent="0.3">
      <c r="AG300" s="84"/>
    </row>
    <row r="301" spans="33:33" x14ac:dyDescent="0.3">
      <c r="AG301" s="84"/>
    </row>
    <row r="302" spans="33:33" x14ac:dyDescent="0.3">
      <c r="AG302" s="84"/>
    </row>
    <row r="303" spans="33:33" x14ac:dyDescent="0.3">
      <c r="AG303" s="84"/>
    </row>
    <row r="304" spans="33:33" x14ac:dyDescent="0.3">
      <c r="AG304" s="84"/>
    </row>
    <row r="305" spans="33:33" x14ac:dyDescent="0.3">
      <c r="AG305" s="84"/>
    </row>
    <row r="306" spans="33:33" x14ac:dyDescent="0.3">
      <c r="AG306" s="84"/>
    </row>
    <row r="307" spans="33:33" x14ac:dyDescent="0.3">
      <c r="AG307" s="84"/>
    </row>
    <row r="308" spans="33:33" x14ac:dyDescent="0.3">
      <c r="AG308" s="84"/>
    </row>
    <row r="309" spans="33:33" x14ac:dyDescent="0.3">
      <c r="AG309" s="84"/>
    </row>
    <row r="310" spans="33:33" x14ac:dyDescent="0.3">
      <c r="AG310" s="84"/>
    </row>
    <row r="311" spans="33:33" x14ac:dyDescent="0.3">
      <c r="AG311" s="84"/>
    </row>
    <row r="312" spans="33:33" x14ac:dyDescent="0.3">
      <c r="AG312" s="84"/>
    </row>
    <row r="313" spans="33:33" x14ac:dyDescent="0.3">
      <c r="AG313" s="84"/>
    </row>
    <row r="314" spans="33:33" x14ac:dyDescent="0.3">
      <c r="AG314" s="84"/>
    </row>
    <row r="315" spans="33:33" x14ac:dyDescent="0.3">
      <c r="AG315" s="84"/>
    </row>
    <row r="316" spans="33:33" x14ac:dyDescent="0.3">
      <c r="AG316" s="84"/>
    </row>
    <row r="317" spans="33:33" x14ac:dyDescent="0.3">
      <c r="AG317" s="84"/>
    </row>
    <row r="318" spans="33:33" x14ac:dyDescent="0.3">
      <c r="AG318" s="84"/>
    </row>
    <row r="319" spans="33:33" x14ac:dyDescent="0.3">
      <c r="AG319" s="84"/>
    </row>
    <row r="320" spans="33:33" x14ac:dyDescent="0.3">
      <c r="AG320" s="84"/>
    </row>
    <row r="321" spans="33:33" x14ac:dyDescent="0.3">
      <c r="AG321" s="84"/>
    </row>
    <row r="322" spans="33:33" x14ac:dyDescent="0.3">
      <c r="AG322" s="84"/>
    </row>
    <row r="323" spans="33:33" x14ac:dyDescent="0.3">
      <c r="AG323" s="84"/>
    </row>
    <row r="324" spans="33:33" x14ac:dyDescent="0.3">
      <c r="AG324" s="84"/>
    </row>
    <row r="325" spans="33:33" x14ac:dyDescent="0.3">
      <c r="AG325" s="84"/>
    </row>
    <row r="326" spans="33:33" x14ac:dyDescent="0.3">
      <c r="AG326" s="84"/>
    </row>
    <row r="327" spans="33:33" x14ac:dyDescent="0.3">
      <c r="AG327" s="84"/>
    </row>
    <row r="328" spans="33:33" x14ac:dyDescent="0.3">
      <c r="AG328" s="84"/>
    </row>
    <row r="329" spans="33:33" x14ac:dyDescent="0.3">
      <c r="AG329" s="84"/>
    </row>
    <row r="330" spans="33:33" x14ac:dyDescent="0.3">
      <c r="AG330" s="84"/>
    </row>
    <row r="331" spans="33:33" x14ac:dyDescent="0.3">
      <c r="AG331" s="84"/>
    </row>
    <row r="332" spans="33:33" x14ac:dyDescent="0.3">
      <c r="AG332" s="84"/>
    </row>
    <row r="333" spans="33:33" x14ac:dyDescent="0.3">
      <c r="AG333" s="84"/>
    </row>
    <row r="334" spans="33:33" x14ac:dyDescent="0.3">
      <c r="AG334" s="84"/>
    </row>
    <row r="335" spans="33:33" x14ac:dyDescent="0.3">
      <c r="AG335" s="84"/>
    </row>
    <row r="336" spans="33:33" x14ac:dyDescent="0.3">
      <c r="AG336" s="84"/>
    </row>
    <row r="337" spans="33:33" x14ac:dyDescent="0.3">
      <c r="AG337" s="84"/>
    </row>
    <row r="338" spans="33:33" x14ac:dyDescent="0.3">
      <c r="AG338" s="84"/>
    </row>
    <row r="339" spans="33:33" x14ac:dyDescent="0.3">
      <c r="AG339" s="84"/>
    </row>
    <row r="340" spans="33:33" x14ac:dyDescent="0.3">
      <c r="AG340" s="84"/>
    </row>
    <row r="341" spans="33:33" x14ac:dyDescent="0.3">
      <c r="AG341" s="84"/>
    </row>
    <row r="342" spans="33:33" x14ac:dyDescent="0.3">
      <c r="AG342" s="84"/>
    </row>
    <row r="343" spans="33:33" x14ac:dyDescent="0.3">
      <c r="AG343" s="84"/>
    </row>
    <row r="344" spans="33:33" x14ac:dyDescent="0.3">
      <c r="AG344" s="84"/>
    </row>
    <row r="345" spans="33:33" x14ac:dyDescent="0.3">
      <c r="AG345" s="84"/>
    </row>
    <row r="346" spans="33:33" x14ac:dyDescent="0.3">
      <c r="AG346" s="84"/>
    </row>
    <row r="347" spans="33:33" x14ac:dyDescent="0.3">
      <c r="AG347" s="84"/>
    </row>
    <row r="348" spans="33:33" x14ac:dyDescent="0.3">
      <c r="AG348" s="84"/>
    </row>
    <row r="349" spans="33:33" x14ac:dyDescent="0.3">
      <c r="AG349" s="84"/>
    </row>
    <row r="350" spans="33:33" x14ac:dyDescent="0.3">
      <c r="AG350" s="84"/>
    </row>
    <row r="351" spans="33:33" x14ac:dyDescent="0.3">
      <c r="AG351" s="84"/>
    </row>
    <row r="352" spans="33:33" x14ac:dyDescent="0.3">
      <c r="AG352" s="84"/>
    </row>
    <row r="353" spans="33:33" x14ac:dyDescent="0.3">
      <c r="AG353" s="84"/>
    </row>
    <row r="354" spans="33:33" x14ac:dyDescent="0.3">
      <c r="AG354" s="84"/>
    </row>
    <row r="355" spans="33:33" x14ac:dyDescent="0.3">
      <c r="AG355" s="84"/>
    </row>
    <row r="356" spans="33:33" x14ac:dyDescent="0.3">
      <c r="AG356" s="84"/>
    </row>
    <row r="357" spans="33:33" x14ac:dyDescent="0.3">
      <c r="AG357" s="84"/>
    </row>
    <row r="358" spans="33:33" x14ac:dyDescent="0.3">
      <c r="AG358" s="84"/>
    </row>
    <row r="359" spans="33:33" x14ac:dyDescent="0.3">
      <c r="AG359" s="84"/>
    </row>
    <row r="360" spans="33:33" x14ac:dyDescent="0.3">
      <c r="AG360" s="84"/>
    </row>
    <row r="361" spans="33:33" x14ac:dyDescent="0.3">
      <c r="AG361" s="84"/>
    </row>
    <row r="362" spans="33:33" x14ac:dyDescent="0.3">
      <c r="AG362" s="84"/>
    </row>
    <row r="363" spans="33:33" x14ac:dyDescent="0.3">
      <c r="AG363" s="84"/>
    </row>
    <row r="364" spans="33:33" x14ac:dyDescent="0.3">
      <c r="AG364" s="84"/>
    </row>
    <row r="365" spans="33:33" x14ac:dyDescent="0.3">
      <c r="AG365" s="84"/>
    </row>
    <row r="366" spans="33:33" x14ac:dyDescent="0.3">
      <c r="AG366" s="84"/>
    </row>
    <row r="367" spans="33:33" x14ac:dyDescent="0.3">
      <c r="AG367" s="84"/>
    </row>
    <row r="368" spans="33:33" x14ac:dyDescent="0.3">
      <c r="AG368" s="84"/>
    </row>
    <row r="369" spans="33:33" x14ac:dyDescent="0.3">
      <c r="AG369" s="84"/>
    </row>
    <row r="370" spans="33:33" x14ac:dyDescent="0.3">
      <c r="AG370" s="84"/>
    </row>
    <row r="371" spans="33:33" x14ac:dyDescent="0.3">
      <c r="AG371" s="84"/>
    </row>
    <row r="372" spans="33:33" x14ac:dyDescent="0.3">
      <c r="AG372" s="84"/>
    </row>
    <row r="373" spans="33:33" x14ac:dyDescent="0.3">
      <c r="AG373" s="84"/>
    </row>
    <row r="374" spans="33:33" x14ac:dyDescent="0.3">
      <c r="AG374" s="84"/>
    </row>
    <row r="375" spans="33:33" x14ac:dyDescent="0.3">
      <c r="AG375" s="84"/>
    </row>
    <row r="376" spans="33:33" x14ac:dyDescent="0.3">
      <c r="AG376" s="84"/>
    </row>
    <row r="377" spans="33:33" x14ac:dyDescent="0.3">
      <c r="AG377" s="84"/>
    </row>
    <row r="378" spans="33:33" x14ac:dyDescent="0.3">
      <c r="AG378" s="84"/>
    </row>
    <row r="379" spans="33:33" x14ac:dyDescent="0.3">
      <c r="AG379" s="84"/>
    </row>
    <row r="380" spans="33:33" x14ac:dyDescent="0.3">
      <c r="AG380" s="84"/>
    </row>
    <row r="381" spans="33:33" x14ac:dyDescent="0.3">
      <c r="AG381" s="84"/>
    </row>
    <row r="382" spans="33:33" x14ac:dyDescent="0.3">
      <c r="AG382" s="84"/>
    </row>
    <row r="383" spans="33:33" x14ac:dyDescent="0.3">
      <c r="AG383" s="84"/>
    </row>
    <row r="384" spans="33:33" x14ac:dyDescent="0.3">
      <c r="AG384" s="84"/>
    </row>
    <row r="385" spans="33:33" x14ac:dyDescent="0.3">
      <c r="AG385" s="84"/>
    </row>
    <row r="386" spans="33:33" x14ac:dyDescent="0.3">
      <c r="AG386" s="84"/>
    </row>
    <row r="387" spans="33:33" x14ac:dyDescent="0.3">
      <c r="AG387" s="84"/>
    </row>
    <row r="388" spans="33:33" x14ac:dyDescent="0.3">
      <c r="AG388" s="84"/>
    </row>
    <row r="389" spans="33:33" x14ac:dyDescent="0.3">
      <c r="AG389" s="84"/>
    </row>
    <row r="390" spans="33:33" x14ac:dyDescent="0.3">
      <c r="AG390" s="84"/>
    </row>
    <row r="391" spans="33:33" x14ac:dyDescent="0.3">
      <c r="AG391" s="84"/>
    </row>
    <row r="392" spans="33:33" x14ac:dyDescent="0.3">
      <c r="AG392" s="84"/>
    </row>
    <row r="393" spans="33:33" x14ac:dyDescent="0.3">
      <c r="AG393" s="84"/>
    </row>
    <row r="394" spans="33:33" x14ac:dyDescent="0.3">
      <c r="AG394" s="84"/>
    </row>
    <row r="395" spans="33:33" x14ac:dyDescent="0.3">
      <c r="AG395" s="84"/>
    </row>
    <row r="396" spans="33:33" x14ac:dyDescent="0.3">
      <c r="AG396" s="84"/>
    </row>
    <row r="397" spans="33:33" x14ac:dyDescent="0.3">
      <c r="AG397" s="84"/>
    </row>
    <row r="398" spans="33:33" x14ac:dyDescent="0.3">
      <c r="AG398" s="84"/>
    </row>
    <row r="399" spans="33:33" x14ac:dyDescent="0.3">
      <c r="AG399" s="84"/>
    </row>
    <row r="400" spans="33:33" x14ac:dyDescent="0.3">
      <c r="AG400" s="84"/>
    </row>
    <row r="401" spans="33:33" x14ac:dyDescent="0.3">
      <c r="AG401" s="84"/>
    </row>
    <row r="402" spans="33:33" x14ac:dyDescent="0.3">
      <c r="AG402" s="84"/>
    </row>
    <row r="403" spans="33:33" x14ac:dyDescent="0.3">
      <c r="AG403" s="84"/>
    </row>
    <row r="404" spans="33:33" x14ac:dyDescent="0.3">
      <c r="AG404" s="84"/>
    </row>
    <row r="405" spans="33:33" x14ac:dyDescent="0.3">
      <c r="AG405" s="84"/>
    </row>
    <row r="406" spans="33:33" x14ac:dyDescent="0.3">
      <c r="AG406" s="84"/>
    </row>
    <row r="407" spans="33:33" x14ac:dyDescent="0.3">
      <c r="AG407" s="84"/>
    </row>
    <row r="408" spans="33:33" x14ac:dyDescent="0.3">
      <c r="AG408" s="84"/>
    </row>
    <row r="409" spans="33:33" x14ac:dyDescent="0.3">
      <c r="AG409" s="84"/>
    </row>
    <row r="410" spans="33:33" x14ac:dyDescent="0.3">
      <c r="AG410" s="84"/>
    </row>
    <row r="411" spans="33:33" x14ac:dyDescent="0.3">
      <c r="AG411" s="84"/>
    </row>
    <row r="412" spans="33:33" x14ac:dyDescent="0.3">
      <c r="AG412" s="84"/>
    </row>
    <row r="413" spans="33:33" x14ac:dyDescent="0.3">
      <c r="AG413" s="84"/>
    </row>
    <row r="414" spans="33:33" x14ac:dyDescent="0.3">
      <c r="AG414" s="84"/>
    </row>
    <row r="415" spans="33:33" x14ac:dyDescent="0.3">
      <c r="AG415" s="84"/>
    </row>
    <row r="416" spans="33:33" x14ac:dyDescent="0.3">
      <c r="AG416" s="84"/>
    </row>
    <row r="417" spans="33:33" x14ac:dyDescent="0.3">
      <c r="AG417" s="84"/>
    </row>
    <row r="418" spans="33:33" x14ac:dyDescent="0.3">
      <c r="AG418" s="84"/>
    </row>
    <row r="419" spans="33:33" x14ac:dyDescent="0.3">
      <c r="AG419" s="84"/>
    </row>
    <row r="420" spans="33:33" x14ac:dyDescent="0.3">
      <c r="AG420" s="84"/>
    </row>
    <row r="421" spans="33:33" x14ac:dyDescent="0.3">
      <c r="AG421" s="84"/>
    </row>
    <row r="422" spans="33:33" x14ac:dyDescent="0.3">
      <c r="AG422" s="84"/>
    </row>
    <row r="423" spans="33:33" x14ac:dyDescent="0.3">
      <c r="AG423" s="84"/>
    </row>
    <row r="424" spans="33:33" x14ac:dyDescent="0.3">
      <c r="AG424" s="84"/>
    </row>
    <row r="425" spans="33:33" x14ac:dyDescent="0.3">
      <c r="AG425" s="84"/>
    </row>
    <row r="426" spans="33:33" x14ac:dyDescent="0.3">
      <c r="AG426" s="84"/>
    </row>
    <row r="427" spans="33:33" x14ac:dyDescent="0.3">
      <c r="AG427" s="84"/>
    </row>
    <row r="428" spans="33:33" x14ac:dyDescent="0.3">
      <c r="AG428" s="84"/>
    </row>
    <row r="429" spans="33:33" x14ac:dyDescent="0.3">
      <c r="AG429" s="84"/>
    </row>
    <row r="430" spans="33:33" x14ac:dyDescent="0.3">
      <c r="AG430" s="84"/>
    </row>
    <row r="431" spans="33:33" x14ac:dyDescent="0.3">
      <c r="AG431" s="84"/>
    </row>
    <row r="432" spans="33:33" x14ac:dyDescent="0.3">
      <c r="AG432" s="84"/>
    </row>
    <row r="433" spans="33:33" x14ac:dyDescent="0.3">
      <c r="AG433" s="84"/>
    </row>
    <row r="434" spans="33:33" x14ac:dyDescent="0.3">
      <c r="AG434" s="84"/>
    </row>
    <row r="435" spans="33:33" x14ac:dyDescent="0.3">
      <c r="AG435" s="84"/>
    </row>
    <row r="436" spans="33:33" x14ac:dyDescent="0.3">
      <c r="AG436" s="84"/>
    </row>
    <row r="437" spans="33:33" x14ac:dyDescent="0.3">
      <c r="AG437" s="84"/>
    </row>
    <row r="438" spans="33:33" x14ac:dyDescent="0.3">
      <c r="AG438" s="84"/>
    </row>
    <row r="439" spans="33:33" x14ac:dyDescent="0.3">
      <c r="AG439" s="84"/>
    </row>
    <row r="440" spans="33:33" x14ac:dyDescent="0.3">
      <c r="AG440" s="84"/>
    </row>
    <row r="441" spans="33:33" x14ac:dyDescent="0.3">
      <c r="AG441" s="84"/>
    </row>
    <row r="442" spans="33:33" x14ac:dyDescent="0.3">
      <c r="AG442" s="84"/>
    </row>
    <row r="443" spans="33:33" x14ac:dyDescent="0.3">
      <c r="AG443" s="84"/>
    </row>
    <row r="444" spans="33:33" x14ac:dyDescent="0.3">
      <c r="AG444" s="84"/>
    </row>
    <row r="445" spans="33:33" x14ac:dyDescent="0.3">
      <c r="AG445" s="84"/>
    </row>
    <row r="446" spans="33:33" x14ac:dyDescent="0.3">
      <c r="AG446" s="84"/>
    </row>
    <row r="447" spans="33:33" x14ac:dyDescent="0.3">
      <c r="AG447" s="84"/>
    </row>
    <row r="448" spans="33:33" x14ac:dyDescent="0.3">
      <c r="AG448" s="84"/>
    </row>
    <row r="449" spans="33:33" x14ac:dyDescent="0.3">
      <c r="AG449" s="84"/>
    </row>
    <row r="450" spans="33:33" x14ac:dyDescent="0.3">
      <c r="AG450" s="84"/>
    </row>
    <row r="451" spans="33:33" x14ac:dyDescent="0.3">
      <c r="AG451" s="84"/>
    </row>
    <row r="452" spans="33:33" x14ac:dyDescent="0.3">
      <c r="AG452" s="84"/>
    </row>
    <row r="453" spans="33:33" x14ac:dyDescent="0.3">
      <c r="AG453" s="84"/>
    </row>
    <row r="454" spans="33:33" x14ac:dyDescent="0.3">
      <c r="AG454" s="84"/>
    </row>
    <row r="455" spans="33:33" x14ac:dyDescent="0.3">
      <c r="AG455" s="84"/>
    </row>
    <row r="456" spans="33:33" x14ac:dyDescent="0.3">
      <c r="AG456" s="84"/>
    </row>
    <row r="457" spans="33:33" x14ac:dyDescent="0.3">
      <c r="AG457" s="84"/>
    </row>
    <row r="458" spans="33:33" x14ac:dyDescent="0.3">
      <c r="AG458" s="84"/>
    </row>
    <row r="459" spans="33:33" x14ac:dyDescent="0.3">
      <c r="AG459" s="84"/>
    </row>
    <row r="460" spans="33:33" x14ac:dyDescent="0.3">
      <c r="AG460" s="84"/>
    </row>
    <row r="461" spans="33:33" x14ac:dyDescent="0.3">
      <c r="AG461" s="84"/>
    </row>
    <row r="462" spans="33:33" x14ac:dyDescent="0.3">
      <c r="AG462" s="84"/>
    </row>
    <row r="463" spans="33:33" x14ac:dyDescent="0.3">
      <c r="AG463" s="84"/>
    </row>
    <row r="464" spans="33:33" x14ac:dyDescent="0.3">
      <c r="AG464" s="84"/>
    </row>
    <row r="465" spans="33:33" x14ac:dyDescent="0.3">
      <c r="AG465" s="84"/>
    </row>
    <row r="466" spans="33:33" x14ac:dyDescent="0.3">
      <c r="AG466" s="84"/>
    </row>
    <row r="467" spans="33:33" x14ac:dyDescent="0.3">
      <c r="AG467" s="84"/>
    </row>
    <row r="468" spans="33:33" x14ac:dyDescent="0.3">
      <c r="AG468" s="84"/>
    </row>
    <row r="469" spans="33:33" x14ac:dyDescent="0.3">
      <c r="AG469" s="84"/>
    </row>
    <row r="470" spans="33:33" x14ac:dyDescent="0.3">
      <c r="AG470" s="84"/>
    </row>
    <row r="471" spans="33:33" x14ac:dyDescent="0.3">
      <c r="AG471" s="84"/>
    </row>
    <row r="472" spans="33:33" x14ac:dyDescent="0.3">
      <c r="AG472" s="84"/>
    </row>
    <row r="473" spans="33:33" x14ac:dyDescent="0.3">
      <c r="AG473" s="84"/>
    </row>
    <row r="474" spans="33:33" x14ac:dyDescent="0.3">
      <c r="AG474" s="84"/>
    </row>
    <row r="475" spans="33:33" x14ac:dyDescent="0.3">
      <c r="AG475" s="84"/>
    </row>
    <row r="476" spans="33:33" x14ac:dyDescent="0.3">
      <c r="AG476" s="84"/>
    </row>
    <row r="477" spans="33:33" x14ac:dyDescent="0.3">
      <c r="AG477" s="84"/>
    </row>
    <row r="478" spans="33:33" x14ac:dyDescent="0.3">
      <c r="AG478" s="84"/>
    </row>
    <row r="479" spans="33:33" x14ac:dyDescent="0.3">
      <c r="AG479" s="84"/>
    </row>
    <row r="480" spans="33:33" x14ac:dyDescent="0.3">
      <c r="AG480" s="84"/>
    </row>
    <row r="481" spans="33:33" x14ac:dyDescent="0.3">
      <c r="AG481" s="84"/>
    </row>
    <row r="482" spans="33:33" x14ac:dyDescent="0.3">
      <c r="AG482" s="84"/>
    </row>
    <row r="483" spans="33:33" x14ac:dyDescent="0.3">
      <c r="AG483" s="84"/>
    </row>
    <row r="484" spans="33:33" x14ac:dyDescent="0.3">
      <c r="AG484" s="84"/>
    </row>
    <row r="485" spans="33:33" x14ac:dyDescent="0.3">
      <c r="AG485" s="84"/>
    </row>
    <row r="486" spans="33:33" x14ac:dyDescent="0.3">
      <c r="AG486" s="84"/>
    </row>
    <row r="487" spans="33:33" x14ac:dyDescent="0.3">
      <c r="AG487" s="84"/>
    </row>
    <row r="488" spans="33:33" x14ac:dyDescent="0.3">
      <c r="AG488" s="84"/>
    </row>
    <row r="489" spans="33:33" x14ac:dyDescent="0.3">
      <c r="AG489" s="84"/>
    </row>
    <row r="490" spans="33:33" x14ac:dyDescent="0.3">
      <c r="AG490" s="84"/>
    </row>
    <row r="491" spans="33:33" x14ac:dyDescent="0.3">
      <c r="AG491" s="84"/>
    </row>
    <row r="492" spans="33:33" x14ac:dyDescent="0.3">
      <c r="AG492" s="84"/>
    </row>
    <row r="493" spans="33:33" x14ac:dyDescent="0.3">
      <c r="AG493" s="84"/>
    </row>
    <row r="494" spans="33:33" x14ac:dyDescent="0.3">
      <c r="AG494" s="84"/>
    </row>
    <row r="495" spans="33:33" x14ac:dyDescent="0.3">
      <c r="AG495" s="84"/>
    </row>
    <row r="496" spans="33:33" x14ac:dyDescent="0.3">
      <c r="AG496" s="84"/>
    </row>
    <row r="497" spans="33:33" x14ac:dyDescent="0.3">
      <c r="AG497" s="84"/>
    </row>
    <row r="498" spans="33:33" x14ac:dyDescent="0.3">
      <c r="AG498" s="84"/>
    </row>
    <row r="499" spans="33:33" x14ac:dyDescent="0.3">
      <c r="AG499" s="84"/>
    </row>
    <row r="500" spans="33:33" x14ac:dyDescent="0.3">
      <c r="AG500" s="84"/>
    </row>
    <row r="501" spans="33:33" x14ac:dyDescent="0.3">
      <c r="AG501" s="84"/>
    </row>
    <row r="502" spans="33:33" x14ac:dyDescent="0.3">
      <c r="AG502" s="84"/>
    </row>
    <row r="503" spans="33:33" x14ac:dyDescent="0.3">
      <c r="AG503" s="84"/>
    </row>
    <row r="504" spans="33:33" x14ac:dyDescent="0.3">
      <c r="AG504" s="84"/>
    </row>
    <row r="505" spans="33:33" x14ac:dyDescent="0.3">
      <c r="AG505" s="84"/>
    </row>
    <row r="506" spans="33:33" x14ac:dyDescent="0.3">
      <c r="AG506" s="84"/>
    </row>
    <row r="507" spans="33:33" x14ac:dyDescent="0.3">
      <c r="AG507" s="84"/>
    </row>
    <row r="508" spans="33:33" x14ac:dyDescent="0.3">
      <c r="AG508" s="84"/>
    </row>
    <row r="509" spans="33:33" x14ac:dyDescent="0.3">
      <c r="AG509" s="84"/>
    </row>
    <row r="510" spans="33:33" x14ac:dyDescent="0.3">
      <c r="AG510" s="84"/>
    </row>
    <row r="511" spans="33:33" x14ac:dyDescent="0.3">
      <c r="AG511" s="84"/>
    </row>
    <row r="512" spans="33:33" x14ac:dyDescent="0.3">
      <c r="AG512" s="84"/>
    </row>
    <row r="513" spans="33:33" x14ac:dyDescent="0.3">
      <c r="AG513" s="84"/>
    </row>
    <row r="514" spans="33:33" x14ac:dyDescent="0.3">
      <c r="AG514" s="84"/>
    </row>
    <row r="515" spans="33:33" x14ac:dyDescent="0.3">
      <c r="AG515" s="84"/>
    </row>
    <row r="516" spans="33:33" x14ac:dyDescent="0.3">
      <c r="AG516" s="84"/>
    </row>
    <row r="517" spans="33:33" x14ac:dyDescent="0.3">
      <c r="AG517" s="84"/>
    </row>
    <row r="518" spans="33:33" x14ac:dyDescent="0.3">
      <c r="AG518" s="84"/>
    </row>
    <row r="519" spans="33:33" x14ac:dyDescent="0.3">
      <c r="AG519" s="84"/>
    </row>
    <row r="520" spans="33:33" x14ac:dyDescent="0.3">
      <c r="AG520" s="84"/>
    </row>
    <row r="521" spans="33:33" x14ac:dyDescent="0.3">
      <c r="AG521" s="84"/>
    </row>
    <row r="522" spans="33:33" x14ac:dyDescent="0.3">
      <c r="AG522" s="84"/>
    </row>
    <row r="523" spans="33:33" x14ac:dyDescent="0.3">
      <c r="AG523" s="84"/>
    </row>
    <row r="524" spans="33:33" x14ac:dyDescent="0.3">
      <c r="AG524" s="84"/>
    </row>
    <row r="525" spans="33:33" x14ac:dyDescent="0.3">
      <c r="AG525" s="84"/>
    </row>
    <row r="526" spans="33:33" x14ac:dyDescent="0.3">
      <c r="AG526" s="84"/>
    </row>
    <row r="527" spans="33:33" x14ac:dyDescent="0.3">
      <c r="AG527" s="84"/>
    </row>
    <row r="528" spans="33:33" x14ac:dyDescent="0.3">
      <c r="AG528" s="84"/>
    </row>
    <row r="529" spans="33:33" x14ac:dyDescent="0.3">
      <c r="AG529" s="84"/>
    </row>
    <row r="530" spans="33:33" x14ac:dyDescent="0.3">
      <c r="AG530" s="84"/>
    </row>
    <row r="531" spans="33:33" x14ac:dyDescent="0.3">
      <c r="AG531" s="84"/>
    </row>
    <row r="532" spans="33:33" x14ac:dyDescent="0.3">
      <c r="AG532" s="84"/>
    </row>
    <row r="533" spans="33:33" x14ac:dyDescent="0.3">
      <c r="AG533" s="84"/>
    </row>
    <row r="534" spans="33:33" x14ac:dyDescent="0.3">
      <c r="AG534" s="84"/>
    </row>
    <row r="535" spans="33:33" x14ac:dyDescent="0.3">
      <c r="AG535" s="84"/>
    </row>
    <row r="536" spans="33:33" x14ac:dyDescent="0.3">
      <c r="AG536" s="84"/>
    </row>
    <row r="537" spans="33:33" x14ac:dyDescent="0.3">
      <c r="AG537" s="84"/>
    </row>
    <row r="538" spans="33:33" x14ac:dyDescent="0.3">
      <c r="AG538" s="84"/>
    </row>
    <row r="539" spans="33:33" x14ac:dyDescent="0.3">
      <c r="AG539" s="84"/>
    </row>
    <row r="540" spans="33:33" x14ac:dyDescent="0.3">
      <c r="AG540" s="84"/>
    </row>
    <row r="541" spans="33:33" x14ac:dyDescent="0.3">
      <c r="AG541" s="84"/>
    </row>
    <row r="542" spans="33:33" x14ac:dyDescent="0.3">
      <c r="AG542" s="84"/>
    </row>
    <row r="543" spans="33:33" x14ac:dyDescent="0.3">
      <c r="AG543" s="84"/>
    </row>
    <row r="544" spans="33:33" x14ac:dyDescent="0.3">
      <c r="AG544" s="84"/>
    </row>
    <row r="545" spans="33:33" x14ac:dyDescent="0.3">
      <c r="AG545" s="84"/>
    </row>
    <row r="546" spans="33:33" x14ac:dyDescent="0.3">
      <c r="AG546" s="84"/>
    </row>
    <row r="547" spans="33:33" x14ac:dyDescent="0.3">
      <c r="AG547" s="84"/>
    </row>
    <row r="548" spans="33:33" x14ac:dyDescent="0.3">
      <c r="AG548" s="84"/>
    </row>
    <row r="549" spans="33:33" x14ac:dyDescent="0.3">
      <c r="AG549" s="84"/>
    </row>
    <row r="550" spans="33:33" x14ac:dyDescent="0.3">
      <c r="AG550" s="84"/>
    </row>
    <row r="551" spans="33:33" x14ac:dyDescent="0.3">
      <c r="AG551" s="84"/>
    </row>
    <row r="552" spans="33:33" x14ac:dyDescent="0.3">
      <c r="AG552" s="84"/>
    </row>
    <row r="553" spans="33:33" x14ac:dyDescent="0.3">
      <c r="AG553" s="84"/>
    </row>
    <row r="554" spans="33:33" x14ac:dyDescent="0.3">
      <c r="AG554" s="84"/>
    </row>
    <row r="555" spans="33:33" x14ac:dyDescent="0.3">
      <c r="AG555" s="84"/>
    </row>
    <row r="556" spans="33:33" x14ac:dyDescent="0.3">
      <c r="AG556" s="84"/>
    </row>
    <row r="557" spans="33:33" x14ac:dyDescent="0.3">
      <c r="AG557" s="84"/>
    </row>
    <row r="558" spans="33:33" x14ac:dyDescent="0.3">
      <c r="AG558" s="84"/>
    </row>
    <row r="559" spans="33:33" x14ac:dyDescent="0.3">
      <c r="AG559" s="84"/>
    </row>
    <row r="560" spans="33:33" x14ac:dyDescent="0.3">
      <c r="AG560" s="84"/>
    </row>
    <row r="561" spans="33:33" x14ac:dyDescent="0.3">
      <c r="AG561" s="84"/>
    </row>
    <row r="562" spans="33:33" x14ac:dyDescent="0.3">
      <c r="AG562" s="84"/>
    </row>
    <row r="563" spans="33:33" x14ac:dyDescent="0.3">
      <c r="AG563" s="84"/>
    </row>
    <row r="564" spans="33:33" x14ac:dyDescent="0.3">
      <c r="AG564" s="84"/>
    </row>
    <row r="565" spans="33:33" x14ac:dyDescent="0.3">
      <c r="AG565" s="84"/>
    </row>
    <row r="566" spans="33:33" x14ac:dyDescent="0.3">
      <c r="AG566" s="84"/>
    </row>
    <row r="567" spans="33:33" x14ac:dyDescent="0.3">
      <c r="AG567" s="84"/>
    </row>
    <row r="568" spans="33:33" x14ac:dyDescent="0.3">
      <c r="AG568" s="84"/>
    </row>
    <row r="569" spans="33:33" x14ac:dyDescent="0.3">
      <c r="AG569" s="84"/>
    </row>
    <row r="570" spans="33:33" x14ac:dyDescent="0.3">
      <c r="AG570" s="84"/>
    </row>
    <row r="571" spans="33:33" x14ac:dyDescent="0.3">
      <c r="AG571" s="84"/>
    </row>
    <row r="572" spans="33:33" x14ac:dyDescent="0.3">
      <c r="AG572" s="84"/>
    </row>
    <row r="573" spans="33:33" x14ac:dyDescent="0.3">
      <c r="AG573" s="84"/>
    </row>
    <row r="574" spans="33:33" x14ac:dyDescent="0.3">
      <c r="AG574" s="84"/>
    </row>
    <row r="575" spans="33:33" x14ac:dyDescent="0.3">
      <c r="AG575" s="84"/>
    </row>
    <row r="576" spans="33:33" x14ac:dyDescent="0.3">
      <c r="AG576" s="84"/>
    </row>
    <row r="577" spans="33:33" x14ac:dyDescent="0.3">
      <c r="AG577" s="84"/>
    </row>
    <row r="578" spans="33:33" x14ac:dyDescent="0.3">
      <c r="AG578" s="84"/>
    </row>
    <row r="579" spans="33:33" x14ac:dyDescent="0.3">
      <c r="AG579" s="84"/>
    </row>
    <row r="580" spans="33:33" x14ac:dyDescent="0.3">
      <c r="AG580" s="84"/>
    </row>
    <row r="581" spans="33:33" x14ac:dyDescent="0.3">
      <c r="AG581" s="84"/>
    </row>
    <row r="582" spans="33:33" x14ac:dyDescent="0.3">
      <c r="AG582" s="84"/>
    </row>
    <row r="583" spans="33:33" x14ac:dyDescent="0.3">
      <c r="AG583" s="84"/>
    </row>
    <row r="584" spans="33:33" x14ac:dyDescent="0.3">
      <c r="AG584" s="84"/>
    </row>
    <row r="585" spans="33:33" x14ac:dyDescent="0.3">
      <c r="AG585" s="84"/>
    </row>
    <row r="586" spans="33:33" x14ac:dyDescent="0.3">
      <c r="AG586" s="84"/>
    </row>
    <row r="587" spans="33:33" x14ac:dyDescent="0.3">
      <c r="AG587" s="84"/>
    </row>
    <row r="588" spans="33:33" x14ac:dyDescent="0.3">
      <c r="AG588" s="84"/>
    </row>
    <row r="589" spans="33:33" x14ac:dyDescent="0.3">
      <c r="AG589" s="84"/>
    </row>
    <row r="590" spans="33:33" x14ac:dyDescent="0.3">
      <c r="AG590" s="84"/>
    </row>
    <row r="591" spans="33:33" x14ac:dyDescent="0.3">
      <c r="AG591" s="84"/>
    </row>
    <row r="592" spans="33:33" x14ac:dyDescent="0.3">
      <c r="AG592" s="84"/>
    </row>
    <row r="593" spans="33:33" x14ac:dyDescent="0.3">
      <c r="AG593" s="84"/>
    </row>
    <row r="594" spans="33:33" x14ac:dyDescent="0.3">
      <c r="AG594" s="84"/>
    </row>
    <row r="595" spans="33:33" x14ac:dyDescent="0.3">
      <c r="AG595" s="84"/>
    </row>
    <row r="596" spans="33:33" x14ac:dyDescent="0.3">
      <c r="AG596" s="84"/>
    </row>
    <row r="597" spans="33:33" x14ac:dyDescent="0.3">
      <c r="AG597" s="84"/>
    </row>
    <row r="598" spans="33:33" x14ac:dyDescent="0.3">
      <c r="AG598" s="84"/>
    </row>
    <row r="599" spans="33:33" x14ac:dyDescent="0.3">
      <c r="AG599" s="84"/>
    </row>
    <row r="600" spans="33:33" x14ac:dyDescent="0.3">
      <c r="AG600" s="84"/>
    </row>
    <row r="601" spans="33:33" x14ac:dyDescent="0.3">
      <c r="AG601" s="84"/>
    </row>
    <row r="602" spans="33:33" x14ac:dyDescent="0.3">
      <c r="AG602" s="84"/>
    </row>
    <row r="603" spans="33:33" x14ac:dyDescent="0.3">
      <c r="AG603" s="84"/>
    </row>
    <row r="604" spans="33:33" x14ac:dyDescent="0.3">
      <c r="AG604" s="84"/>
    </row>
    <row r="605" spans="33:33" x14ac:dyDescent="0.3">
      <c r="AG605" s="84"/>
    </row>
    <row r="606" spans="33:33" x14ac:dyDescent="0.3">
      <c r="AG606" s="84"/>
    </row>
    <row r="607" spans="33:33" x14ac:dyDescent="0.3">
      <c r="AG607" s="84"/>
    </row>
    <row r="608" spans="33:33" x14ac:dyDescent="0.3">
      <c r="AG608" s="84"/>
    </row>
    <row r="609" spans="33:33" x14ac:dyDescent="0.3">
      <c r="AG609" s="84"/>
    </row>
    <row r="610" spans="33:33" x14ac:dyDescent="0.3">
      <c r="AG610" s="84"/>
    </row>
    <row r="611" spans="33:33" x14ac:dyDescent="0.3">
      <c r="AG611" s="84"/>
    </row>
    <row r="612" spans="33:33" x14ac:dyDescent="0.3">
      <c r="AG612" s="84"/>
    </row>
    <row r="613" spans="33:33" x14ac:dyDescent="0.3">
      <c r="AG613" s="84"/>
    </row>
    <row r="614" spans="33:33" x14ac:dyDescent="0.3">
      <c r="AG614" s="84"/>
    </row>
    <row r="615" spans="33:33" x14ac:dyDescent="0.3">
      <c r="AG615" s="84"/>
    </row>
    <row r="616" spans="33:33" x14ac:dyDescent="0.3">
      <c r="AG616" s="84"/>
    </row>
    <row r="617" spans="33:33" x14ac:dyDescent="0.3">
      <c r="AG617" s="84"/>
    </row>
    <row r="618" spans="33:33" x14ac:dyDescent="0.3">
      <c r="AG618" s="84"/>
    </row>
    <row r="619" spans="33:33" x14ac:dyDescent="0.3">
      <c r="AG619" s="84"/>
    </row>
    <row r="620" spans="33:33" x14ac:dyDescent="0.3">
      <c r="AG620" s="84"/>
    </row>
    <row r="621" spans="33:33" x14ac:dyDescent="0.3">
      <c r="AG621" s="84"/>
    </row>
    <row r="622" spans="33:33" x14ac:dyDescent="0.3">
      <c r="AG622" s="84"/>
    </row>
    <row r="623" spans="33:33" x14ac:dyDescent="0.3">
      <c r="AG623" s="84"/>
    </row>
    <row r="624" spans="33:33" x14ac:dyDescent="0.3">
      <c r="AG624" s="84"/>
    </row>
    <row r="625" spans="33:33" x14ac:dyDescent="0.3">
      <c r="AG625" s="84"/>
    </row>
    <row r="626" spans="33:33" x14ac:dyDescent="0.3">
      <c r="AG626" s="84"/>
    </row>
    <row r="627" spans="33:33" x14ac:dyDescent="0.3">
      <c r="AG627" s="84"/>
    </row>
    <row r="628" spans="33:33" x14ac:dyDescent="0.3">
      <c r="AG628" s="84"/>
    </row>
    <row r="629" spans="33:33" x14ac:dyDescent="0.3">
      <c r="AG629" s="84"/>
    </row>
    <row r="630" spans="33:33" x14ac:dyDescent="0.3">
      <c r="AG630" s="84"/>
    </row>
    <row r="631" spans="33:33" x14ac:dyDescent="0.3">
      <c r="AG631" s="84"/>
    </row>
    <row r="632" spans="33:33" x14ac:dyDescent="0.3">
      <c r="AG632" s="84"/>
    </row>
    <row r="633" spans="33:33" x14ac:dyDescent="0.3">
      <c r="AG633" s="84"/>
    </row>
    <row r="634" spans="33:33" x14ac:dyDescent="0.3">
      <c r="AG634" s="84"/>
    </row>
    <row r="635" spans="33:33" x14ac:dyDescent="0.3">
      <c r="AG635" s="84"/>
    </row>
    <row r="636" spans="33:33" x14ac:dyDescent="0.3">
      <c r="AG636" s="84"/>
    </row>
    <row r="637" spans="33:33" x14ac:dyDescent="0.3">
      <c r="AG637" s="84"/>
    </row>
    <row r="638" spans="33:33" x14ac:dyDescent="0.3">
      <c r="AG638" s="84"/>
    </row>
    <row r="639" spans="33:33" x14ac:dyDescent="0.3">
      <c r="AG639" s="84"/>
    </row>
    <row r="640" spans="33:33" x14ac:dyDescent="0.3">
      <c r="AG640" s="84"/>
    </row>
    <row r="641" spans="33:33" x14ac:dyDescent="0.3">
      <c r="AG641" s="84"/>
    </row>
    <row r="642" spans="33:33" x14ac:dyDescent="0.3">
      <c r="AG642" s="84"/>
    </row>
    <row r="643" spans="33:33" x14ac:dyDescent="0.3">
      <c r="AG643" s="84"/>
    </row>
    <row r="644" spans="33:33" x14ac:dyDescent="0.3">
      <c r="AG644" s="84"/>
    </row>
    <row r="645" spans="33:33" x14ac:dyDescent="0.3">
      <c r="AG645" s="84"/>
    </row>
    <row r="646" spans="33:33" x14ac:dyDescent="0.3">
      <c r="AG646" s="84"/>
    </row>
    <row r="647" spans="33:33" x14ac:dyDescent="0.3">
      <c r="AG647" s="84"/>
    </row>
    <row r="648" spans="33:33" x14ac:dyDescent="0.3">
      <c r="AG648" s="84"/>
    </row>
    <row r="649" spans="33:33" x14ac:dyDescent="0.3">
      <c r="AG649" s="84"/>
    </row>
    <row r="650" spans="33:33" x14ac:dyDescent="0.3">
      <c r="AG650" s="84"/>
    </row>
    <row r="651" spans="33:33" x14ac:dyDescent="0.3">
      <c r="AG651" s="84"/>
    </row>
    <row r="652" spans="33:33" x14ac:dyDescent="0.3">
      <c r="AG652" s="84"/>
    </row>
    <row r="653" spans="33:33" x14ac:dyDescent="0.3">
      <c r="AG653" s="84"/>
    </row>
    <row r="654" spans="33:33" x14ac:dyDescent="0.3">
      <c r="AG654" s="84"/>
    </row>
    <row r="655" spans="33:33" x14ac:dyDescent="0.3">
      <c r="AG655" s="84"/>
    </row>
    <row r="656" spans="33:33" x14ac:dyDescent="0.3">
      <c r="AG656" s="84"/>
    </row>
    <row r="657" spans="33:33" x14ac:dyDescent="0.3">
      <c r="AG657" s="84"/>
    </row>
    <row r="658" spans="33:33" x14ac:dyDescent="0.3">
      <c r="AG658" s="84"/>
    </row>
    <row r="659" spans="33:33" x14ac:dyDescent="0.3">
      <c r="AG659" s="84"/>
    </row>
    <row r="660" spans="33:33" x14ac:dyDescent="0.3">
      <c r="AG660" s="84"/>
    </row>
    <row r="661" spans="33:33" x14ac:dyDescent="0.3">
      <c r="AG661" s="84"/>
    </row>
    <row r="662" spans="33:33" x14ac:dyDescent="0.3">
      <c r="AG662" s="84"/>
    </row>
    <row r="663" spans="33:33" x14ac:dyDescent="0.3">
      <c r="AG663" s="84"/>
    </row>
    <row r="664" spans="33:33" x14ac:dyDescent="0.3">
      <c r="AG664" s="84"/>
    </row>
    <row r="665" spans="33:33" x14ac:dyDescent="0.3">
      <c r="AG665" s="84"/>
    </row>
    <row r="666" spans="33:33" x14ac:dyDescent="0.3">
      <c r="AG666" s="84"/>
    </row>
    <row r="667" spans="33:33" x14ac:dyDescent="0.3">
      <c r="AG667" s="84"/>
    </row>
    <row r="668" spans="33:33" x14ac:dyDescent="0.3">
      <c r="AG668" s="84"/>
    </row>
    <row r="669" spans="33:33" x14ac:dyDescent="0.3">
      <c r="AG669" s="84"/>
    </row>
    <row r="670" spans="33:33" x14ac:dyDescent="0.3">
      <c r="AG670" s="84"/>
    </row>
    <row r="671" spans="33:33" x14ac:dyDescent="0.3">
      <c r="AG671" s="84"/>
    </row>
    <row r="672" spans="33:33" x14ac:dyDescent="0.3">
      <c r="AG672" s="84"/>
    </row>
    <row r="673" spans="33:33" x14ac:dyDescent="0.3">
      <c r="AG673" s="84"/>
    </row>
    <row r="674" spans="33:33" x14ac:dyDescent="0.3">
      <c r="AG674" s="84"/>
    </row>
    <row r="675" spans="33:33" x14ac:dyDescent="0.3">
      <c r="AG675" s="84"/>
    </row>
    <row r="676" spans="33:33" x14ac:dyDescent="0.3">
      <c r="AG676" s="84"/>
    </row>
    <row r="677" spans="33:33" x14ac:dyDescent="0.3">
      <c r="AG677" s="84"/>
    </row>
    <row r="678" spans="33:33" x14ac:dyDescent="0.3">
      <c r="AG678" s="84"/>
    </row>
    <row r="679" spans="33:33" x14ac:dyDescent="0.3">
      <c r="AG679" s="84"/>
    </row>
    <row r="680" spans="33:33" x14ac:dyDescent="0.3">
      <c r="AG680" s="84"/>
    </row>
    <row r="681" spans="33:33" x14ac:dyDescent="0.3">
      <c r="AG681" s="84"/>
    </row>
    <row r="682" spans="33:33" x14ac:dyDescent="0.3">
      <c r="AG682" s="84"/>
    </row>
    <row r="683" spans="33:33" x14ac:dyDescent="0.3">
      <c r="AG683" s="84"/>
    </row>
    <row r="684" spans="33:33" x14ac:dyDescent="0.3">
      <c r="AG684" s="84"/>
    </row>
    <row r="685" spans="33:33" x14ac:dyDescent="0.3">
      <c r="AG685" s="84"/>
    </row>
    <row r="686" spans="33:33" x14ac:dyDescent="0.3">
      <c r="AG686" s="84"/>
    </row>
    <row r="687" spans="33:33" x14ac:dyDescent="0.3">
      <c r="AG687" s="84"/>
    </row>
    <row r="688" spans="33:33" x14ac:dyDescent="0.3">
      <c r="AG688" s="84"/>
    </row>
    <row r="689" spans="33:33" x14ac:dyDescent="0.3">
      <c r="AG689" s="84"/>
    </row>
    <row r="690" spans="33:33" x14ac:dyDescent="0.3">
      <c r="AG690" s="84"/>
    </row>
    <row r="691" spans="33:33" x14ac:dyDescent="0.3">
      <c r="AG691" s="84"/>
    </row>
    <row r="692" spans="33:33" x14ac:dyDescent="0.3">
      <c r="AG692" s="84"/>
    </row>
    <row r="693" spans="33:33" x14ac:dyDescent="0.3">
      <c r="AG693" s="84"/>
    </row>
    <row r="694" spans="33:33" x14ac:dyDescent="0.3">
      <c r="AG694" s="84"/>
    </row>
    <row r="695" spans="33:33" x14ac:dyDescent="0.3">
      <c r="AG695" s="84"/>
    </row>
    <row r="696" spans="33:33" x14ac:dyDescent="0.3">
      <c r="AG696" s="84"/>
    </row>
    <row r="697" spans="33:33" x14ac:dyDescent="0.3">
      <c r="AG697" s="84"/>
    </row>
    <row r="698" spans="33:33" x14ac:dyDescent="0.3">
      <c r="AG698" s="84"/>
    </row>
    <row r="699" spans="33:33" x14ac:dyDescent="0.3">
      <c r="AG699" s="84"/>
    </row>
    <row r="700" spans="33:33" x14ac:dyDescent="0.3">
      <c r="AG700" s="84"/>
    </row>
    <row r="701" spans="33:33" x14ac:dyDescent="0.3">
      <c r="AG701" s="84"/>
    </row>
    <row r="702" spans="33:33" x14ac:dyDescent="0.3">
      <c r="AG702" s="84"/>
    </row>
    <row r="703" spans="33:33" x14ac:dyDescent="0.3">
      <c r="AG703" s="84"/>
    </row>
    <row r="704" spans="33:33" x14ac:dyDescent="0.3">
      <c r="AG704" s="84"/>
    </row>
    <row r="705" spans="33:33" x14ac:dyDescent="0.3">
      <c r="AG705" s="84"/>
    </row>
    <row r="706" spans="33:33" x14ac:dyDescent="0.3">
      <c r="AG706" s="84"/>
    </row>
    <row r="707" spans="33:33" x14ac:dyDescent="0.3">
      <c r="AG707" s="84"/>
    </row>
    <row r="708" spans="33:33" x14ac:dyDescent="0.3">
      <c r="AG708" s="84"/>
    </row>
    <row r="709" spans="33:33" x14ac:dyDescent="0.3">
      <c r="AG709" s="84"/>
    </row>
    <row r="710" spans="33:33" x14ac:dyDescent="0.3">
      <c r="AG710" s="84"/>
    </row>
    <row r="711" spans="33:33" x14ac:dyDescent="0.3">
      <c r="AG711" s="84"/>
    </row>
    <row r="712" spans="33:33" x14ac:dyDescent="0.3">
      <c r="AG712" s="84"/>
    </row>
    <row r="713" spans="33:33" x14ac:dyDescent="0.3">
      <c r="AG713" s="84"/>
    </row>
    <row r="714" spans="33:33" x14ac:dyDescent="0.3">
      <c r="AG714" s="84"/>
    </row>
    <row r="715" spans="33:33" x14ac:dyDescent="0.3">
      <c r="AG715" s="84"/>
    </row>
    <row r="716" spans="33:33" x14ac:dyDescent="0.3">
      <c r="AG716" s="84"/>
    </row>
    <row r="717" spans="33:33" x14ac:dyDescent="0.3">
      <c r="AG717" s="84"/>
    </row>
    <row r="718" spans="33:33" x14ac:dyDescent="0.3">
      <c r="AG718" s="84"/>
    </row>
    <row r="719" spans="33:33" x14ac:dyDescent="0.3">
      <c r="AG719" s="84"/>
    </row>
    <row r="720" spans="33:33" x14ac:dyDescent="0.3">
      <c r="AG720" s="84"/>
    </row>
    <row r="721" spans="33:33" x14ac:dyDescent="0.3">
      <c r="AG721" s="84"/>
    </row>
    <row r="722" spans="33:33" x14ac:dyDescent="0.3">
      <c r="AG722" s="84"/>
    </row>
    <row r="723" spans="33:33" x14ac:dyDescent="0.3">
      <c r="AG723" s="84"/>
    </row>
    <row r="724" spans="33:33" x14ac:dyDescent="0.3">
      <c r="AG724" s="84"/>
    </row>
    <row r="725" spans="33:33" x14ac:dyDescent="0.3">
      <c r="AG725" s="84"/>
    </row>
    <row r="726" spans="33:33" x14ac:dyDescent="0.3">
      <c r="AG726" s="84"/>
    </row>
    <row r="727" spans="33:33" x14ac:dyDescent="0.3">
      <c r="AG727" s="84"/>
    </row>
    <row r="728" spans="33:33" x14ac:dyDescent="0.3">
      <c r="AG728" s="84"/>
    </row>
    <row r="729" spans="33:33" x14ac:dyDescent="0.3">
      <c r="AG729" s="84"/>
    </row>
    <row r="730" spans="33:33" x14ac:dyDescent="0.3">
      <c r="AG730" s="84"/>
    </row>
    <row r="731" spans="33:33" x14ac:dyDescent="0.3">
      <c r="AG731" s="84"/>
    </row>
    <row r="732" spans="33:33" x14ac:dyDescent="0.3">
      <c r="AG732" s="84"/>
    </row>
    <row r="733" spans="33:33" x14ac:dyDescent="0.3">
      <c r="AG733" s="84"/>
    </row>
    <row r="734" spans="33:33" x14ac:dyDescent="0.3">
      <c r="AG734" s="84"/>
    </row>
    <row r="735" spans="33:33" x14ac:dyDescent="0.3">
      <c r="AG735" s="84"/>
    </row>
    <row r="736" spans="33:33" x14ac:dyDescent="0.3">
      <c r="AG736" s="84"/>
    </row>
    <row r="737" spans="33:33" x14ac:dyDescent="0.3">
      <c r="AG737" s="84"/>
    </row>
    <row r="738" spans="33:33" x14ac:dyDescent="0.3">
      <c r="AG738" s="84"/>
    </row>
    <row r="739" spans="33:33" x14ac:dyDescent="0.3">
      <c r="AG739" s="84"/>
    </row>
    <row r="740" spans="33:33" x14ac:dyDescent="0.3">
      <c r="AG740" s="84"/>
    </row>
    <row r="741" spans="33:33" x14ac:dyDescent="0.3">
      <c r="AG741" s="84"/>
    </row>
    <row r="742" spans="33:33" x14ac:dyDescent="0.3">
      <c r="AG742" s="84"/>
    </row>
    <row r="743" spans="33:33" x14ac:dyDescent="0.3">
      <c r="AG743" s="84"/>
    </row>
    <row r="744" spans="33:33" x14ac:dyDescent="0.3">
      <c r="AG744" s="84"/>
    </row>
    <row r="745" spans="33:33" x14ac:dyDescent="0.3">
      <c r="AG745" s="84"/>
    </row>
    <row r="746" spans="33:33" x14ac:dyDescent="0.3">
      <c r="AG746" s="84"/>
    </row>
    <row r="747" spans="33:33" x14ac:dyDescent="0.3">
      <c r="AG747" s="84"/>
    </row>
    <row r="748" spans="33:33" x14ac:dyDescent="0.3">
      <c r="AG748" s="84"/>
    </row>
    <row r="749" spans="33:33" x14ac:dyDescent="0.3">
      <c r="AG749" s="84"/>
    </row>
    <row r="750" spans="33:33" x14ac:dyDescent="0.3">
      <c r="AG750" s="84"/>
    </row>
    <row r="751" spans="33:33" x14ac:dyDescent="0.3">
      <c r="AG751" s="84"/>
    </row>
    <row r="752" spans="33:33" x14ac:dyDescent="0.3">
      <c r="AG752" s="84"/>
    </row>
    <row r="753" spans="33:33" x14ac:dyDescent="0.3">
      <c r="AG753" s="84"/>
    </row>
    <row r="754" spans="33:33" x14ac:dyDescent="0.3">
      <c r="AG754" s="84"/>
    </row>
    <row r="755" spans="33:33" x14ac:dyDescent="0.3">
      <c r="AG755" s="84"/>
    </row>
    <row r="756" spans="33:33" x14ac:dyDescent="0.3">
      <c r="AG756" s="84"/>
    </row>
    <row r="757" spans="33:33" x14ac:dyDescent="0.3">
      <c r="AG757" s="84"/>
    </row>
    <row r="758" spans="33:33" x14ac:dyDescent="0.3">
      <c r="AG758" s="84"/>
    </row>
    <row r="759" spans="33:33" x14ac:dyDescent="0.3">
      <c r="AG759" s="84"/>
    </row>
    <row r="760" spans="33:33" x14ac:dyDescent="0.3">
      <c r="AG760" s="84"/>
    </row>
    <row r="761" spans="33:33" x14ac:dyDescent="0.3">
      <c r="AG761" s="84"/>
    </row>
    <row r="762" spans="33:33" x14ac:dyDescent="0.3">
      <c r="AG762" s="84"/>
    </row>
    <row r="763" spans="33:33" x14ac:dyDescent="0.3">
      <c r="AG763" s="84"/>
    </row>
    <row r="764" spans="33:33" x14ac:dyDescent="0.3">
      <c r="AG764" s="84"/>
    </row>
    <row r="765" spans="33:33" x14ac:dyDescent="0.3">
      <c r="AG765" s="84"/>
    </row>
    <row r="766" spans="33:33" x14ac:dyDescent="0.3">
      <c r="AG766" s="84"/>
    </row>
    <row r="767" spans="33:33" x14ac:dyDescent="0.3">
      <c r="AG767" s="84"/>
    </row>
    <row r="768" spans="33:33" x14ac:dyDescent="0.3">
      <c r="AG768" s="84"/>
    </row>
    <row r="769" spans="33:33" x14ac:dyDescent="0.3">
      <c r="AG769" s="84"/>
    </row>
    <row r="770" spans="33:33" x14ac:dyDescent="0.3">
      <c r="AG770" s="84"/>
    </row>
    <row r="771" spans="33:33" x14ac:dyDescent="0.3">
      <c r="AG771" s="84"/>
    </row>
    <row r="772" spans="33:33" x14ac:dyDescent="0.3">
      <c r="AG772" s="84"/>
    </row>
    <row r="773" spans="33:33" x14ac:dyDescent="0.3">
      <c r="AG773" s="84"/>
    </row>
    <row r="774" spans="33:33" x14ac:dyDescent="0.3">
      <c r="AG774" s="84"/>
    </row>
    <row r="775" spans="33:33" x14ac:dyDescent="0.3">
      <c r="AG775" s="84"/>
    </row>
    <row r="776" spans="33:33" x14ac:dyDescent="0.3">
      <c r="AG776" s="84"/>
    </row>
    <row r="777" spans="33:33" x14ac:dyDescent="0.3">
      <c r="AG777" s="84"/>
    </row>
    <row r="778" spans="33:33" x14ac:dyDescent="0.3">
      <c r="AG778" s="84"/>
    </row>
    <row r="779" spans="33:33" x14ac:dyDescent="0.3">
      <c r="AG779" s="84"/>
    </row>
    <row r="780" spans="33:33" x14ac:dyDescent="0.3">
      <c r="AG780" s="84"/>
    </row>
    <row r="781" spans="33:33" x14ac:dyDescent="0.3">
      <c r="AG781" s="84"/>
    </row>
    <row r="782" spans="33:33" x14ac:dyDescent="0.3">
      <c r="AG782" s="84"/>
    </row>
    <row r="783" spans="33:33" x14ac:dyDescent="0.3">
      <c r="AG783" s="84"/>
    </row>
    <row r="784" spans="33:33" x14ac:dyDescent="0.3">
      <c r="AG784" s="84"/>
    </row>
    <row r="785" spans="33:33" x14ac:dyDescent="0.3">
      <c r="AG785" s="84"/>
    </row>
    <row r="786" spans="33:33" x14ac:dyDescent="0.3">
      <c r="AG786" s="84"/>
    </row>
    <row r="787" spans="33:33" x14ac:dyDescent="0.3">
      <c r="AG787" s="84"/>
    </row>
    <row r="788" spans="33:33" x14ac:dyDescent="0.3">
      <c r="AG788" s="84"/>
    </row>
    <row r="789" spans="33:33" x14ac:dyDescent="0.3">
      <c r="AG789" s="84"/>
    </row>
    <row r="790" spans="33:33" x14ac:dyDescent="0.3">
      <c r="AG790" s="84"/>
    </row>
    <row r="791" spans="33:33" x14ac:dyDescent="0.3">
      <c r="AG791" s="84"/>
    </row>
    <row r="792" spans="33:33" x14ac:dyDescent="0.3">
      <c r="AG792" s="84"/>
    </row>
    <row r="793" spans="33:33" x14ac:dyDescent="0.3">
      <c r="AG793" s="84"/>
    </row>
    <row r="794" spans="33:33" x14ac:dyDescent="0.3">
      <c r="AG794" s="84"/>
    </row>
    <row r="795" spans="33:33" x14ac:dyDescent="0.3">
      <c r="AG795" s="84"/>
    </row>
    <row r="796" spans="33:33" x14ac:dyDescent="0.3">
      <c r="AG796" s="84"/>
    </row>
    <row r="797" spans="33:33" x14ac:dyDescent="0.3">
      <c r="AG797" s="84"/>
    </row>
    <row r="798" spans="33:33" x14ac:dyDescent="0.3">
      <c r="AG798" s="84"/>
    </row>
    <row r="799" spans="33:33" x14ac:dyDescent="0.3">
      <c r="AG799" s="84"/>
    </row>
    <row r="800" spans="33:33" x14ac:dyDescent="0.3">
      <c r="AG800" s="84"/>
    </row>
    <row r="801" spans="33:33" x14ac:dyDescent="0.3">
      <c r="AG801" s="84"/>
    </row>
    <row r="802" spans="33:33" x14ac:dyDescent="0.3">
      <c r="AG802" s="84"/>
    </row>
    <row r="803" spans="33:33" x14ac:dyDescent="0.3">
      <c r="AG803" s="84"/>
    </row>
    <row r="804" spans="33:33" x14ac:dyDescent="0.3">
      <c r="AG804" s="84"/>
    </row>
    <row r="805" spans="33:33" x14ac:dyDescent="0.3">
      <c r="AG805" s="84"/>
    </row>
    <row r="806" spans="33:33" x14ac:dyDescent="0.3">
      <c r="AG806" s="84"/>
    </row>
    <row r="807" spans="33:33" x14ac:dyDescent="0.3">
      <c r="AG807" s="84"/>
    </row>
    <row r="808" spans="33:33" x14ac:dyDescent="0.3">
      <c r="AG808" s="84"/>
    </row>
    <row r="809" spans="33:33" x14ac:dyDescent="0.3">
      <c r="AG809" s="84"/>
    </row>
    <row r="810" spans="33:33" x14ac:dyDescent="0.3">
      <c r="AG810" s="84"/>
    </row>
    <row r="811" spans="33:33" x14ac:dyDescent="0.3">
      <c r="AG811" s="84"/>
    </row>
    <row r="812" spans="33:33" x14ac:dyDescent="0.3">
      <c r="AG812" s="84"/>
    </row>
    <row r="813" spans="33:33" x14ac:dyDescent="0.3">
      <c r="AG813" s="84"/>
    </row>
    <row r="814" spans="33:33" x14ac:dyDescent="0.3">
      <c r="AG814" s="84"/>
    </row>
    <row r="815" spans="33:33" x14ac:dyDescent="0.3">
      <c r="AG815" s="84"/>
    </row>
    <row r="816" spans="33:33" x14ac:dyDescent="0.3">
      <c r="AG816" s="84"/>
    </row>
    <row r="817" spans="33:33" x14ac:dyDescent="0.3">
      <c r="AG817" s="84"/>
    </row>
    <row r="818" spans="33:33" x14ac:dyDescent="0.3">
      <c r="AG818" s="84"/>
    </row>
    <row r="819" spans="33:33" x14ac:dyDescent="0.3">
      <c r="AG819" s="84"/>
    </row>
    <row r="820" spans="33:33" x14ac:dyDescent="0.3">
      <c r="AG820" s="84"/>
    </row>
    <row r="821" spans="33:33" x14ac:dyDescent="0.3">
      <c r="AG821" s="84"/>
    </row>
    <row r="822" spans="33:33" x14ac:dyDescent="0.3">
      <c r="AG822" s="84"/>
    </row>
    <row r="823" spans="33:33" x14ac:dyDescent="0.3">
      <c r="AG823" s="84"/>
    </row>
    <row r="824" spans="33:33" x14ac:dyDescent="0.3">
      <c r="AG824" s="84"/>
    </row>
    <row r="825" spans="33:33" x14ac:dyDescent="0.3">
      <c r="AG825" s="84"/>
    </row>
    <row r="826" spans="33:33" x14ac:dyDescent="0.3">
      <c r="AG826" s="84"/>
    </row>
    <row r="827" spans="33:33" x14ac:dyDescent="0.3">
      <c r="AG827" s="84"/>
    </row>
    <row r="828" spans="33:33" x14ac:dyDescent="0.3">
      <c r="AG828" s="84"/>
    </row>
    <row r="829" spans="33:33" x14ac:dyDescent="0.3">
      <c r="AG829" s="84"/>
    </row>
    <row r="830" spans="33:33" x14ac:dyDescent="0.3">
      <c r="AG830" s="84"/>
    </row>
    <row r="831" spans="33:33" x14ac:dyDescent="0.3">
      <c r="AG831" s="84"/>
    </row>
    <row r="832" spans="33:33" x14ac:dyDescent="0.3">
      <c r="AG832" s="84"/>
    </row>
    <row r="833" spans="33:33" x14ac:dyDescent="0.3">
      <c r="AG833" s="84"/>
    </row>
    <row r="834" spans="33:33" x14ac:dyDescent="0.3">
      <c r="AG834" s="84"/>
    </row>
    <row r="835" spans="33:33" x14ac:dyDescent="0.3">
      <c r="AG835" s="84"/>
    </row>
    <row r="836" spans="33:33" x14ac:dyDescent="0.3">
      <c r="AG836" s="84"/>
    </row>
    <row r="837" spans="33:33" x14ac:dyDescent="0.3">
      <c r="AG837" s="84"/>
    </row>
    <row r="838" spans="33:33" x14ac:dyDescent="0.3">
      <c r="AG838" s="84"/>
    </row>
    <row r="839" spans="33:33" x14ac:dyDescent="0.3">
      <c r="AG839" s="84"/>
    </row>
    <row r="840" spans="33:33" x14ac:dyDescent="0.3">
      <c r="AG840" s="84"/>
    </row>
    <row r="841" spans="33:33" x14ac:dyDescent="0.3">
      <c r="AG841" s="84"/>
    </row>
    <row r="842" spans="33:33" x14ac:dyDescent="0.3">
      <c r="AG842" s="84"/>
    </row>
    <row r="843" spans="33:33" x14ac:dyDescent="0.3">
      <c r="AG843" s="84"/>
    </row>
    <row r="844" spans="33:33" x14ac:dyDescent="0.3">
      <c r="AG844" s="84"/>
    </row>
    <row r="845" spans="33:33" x14ac:dyDescent="0.3">
      <c r="AG845" s="84"/>
    </row>
    <row r="846" spans="33:33" x14ac:dyDescent="0.3">
      <c r="AG846" s="84"/>
    </row>
    <row r="847" spans="33:33" x14ac:dyDescent="0.3">
      <c r="AG847" s="84"/>
    </row>
    <row r="848" spans="33:33" x14ac:dyDescent="0.3">
      <c r="AG848" s="84"/>
    </row>
    <row r="849" spans="33:33" x14ac:dyDescent="0.3">
      <c r="AG849" s="84"/>
    </row>
    <row r="850" spans="33:33" x14ac:dyDescent="0.3">
      <c r="AG850" s="84"/>
    </row>
    <row r="851" spans="33:33" x14ac:dyDescent="0.3">
      <c r="AG851" s="84"/>
    </row>
    <row r="852" spans="33:33" x14ac:dyDescent="0.3">
      <c r="AG852" s="84"/>
    </row>
    <row r="853" spans="33:33" x14ac:dyDescent="0.3">
      <c r="AG853" s="84"/>
    </row>
    <row r="854" spans="33:33" x14ac:dyDescent="0.3">
      <c r="AG854" s="84"/>
    </row>
    <row r="855" spans="33:33" x14ac:dyDescent="0.3">
      <c r="AG855" s="84"/>
    </row>
    <row r="856" spans="33:33" x14ac:dyDescent="0.3">
      <c r="AG856" s="84"/>
    </row>
    <row r="857" spans="33:33" x14ac:dyDescent="0.3">
      <c r="AG857" s="84"/>
    </row>
    <row r="858" spans="33:33" x14ac:dyDescent="0.3">
      <c r="AG858" s="84"/>
    </row>
    <row r="859" spans="33:33" x14ac:dyDescent="0.3">
      <c r="AG859" s="84"/>
    </row>
    <row r="860" spans="33:33" x14ac:dyDescent="0.3">
      <c r="AG860" s="84"/>
    </row>
    <row r="861" spans="33:33" x14ac:dyDescent="0.3">
      <c r="AG861" s="84"/>
    </row>
    <row r="862" spans="33:33" x14ac:dyDescent="0.3">
      <c r="AG862" s="84"/>
    </row>
    <row r="863" spans="33:33" x14ac:dyDescent="0.3">
      <c r="AG863" s="84"/>
    </row>
    <row r="864" spans="33:33" x14ac:dyDescent="0.3">
      <c r="AG864" s="84"/>
    </row>
    <row r="865" spans="33:33" x14ac:dyDescent="0.3">
      <c r="AG865" s="84"/>
    </row>
    <row r="866" spans="33:33" x14ac:dyDescent="0.3">
      <c r="AG866" s="84"/>
    </row>
    <row r="867" spans="33:33" x14ac:dyDescent="0.3">
      <c r="AG867" s="84"/>
    </row>
    <row r="868" spans="33:33" x14ac:dyDescent="0.3">
      <c r="AG868" s="84"/>
    </row>
    <row r="869" spans="33:33" x14ac:dyDescent="0.3">
      <c r="AG869" s="84"/>
    </row>
    <row r="870" spans="33:33" x14ac:dyDescent="0.3">
      <c r="AG870" s="84"/>
    </row>
    <row r="871" spans="33:33" x14ac:dyDescent="0.3">
      <c r="AG871" s="84"/>
    </row>
    <row r="872" spans="33:33" x14ac:dyDescent="0.3">
      <c r="AG872" s="84"/>
    </row>
    <row r="873" spans="33:33" x14ac:dyDescent="0.3">
      <c r="AG873" s="84"/>
    </row>
    <row r="874" spans="33:33" x14ac:dyDescent="0.3">
      <c r="AG874" s="84"/>
    </row>
    <row r="875" spans="33:33" x14ac:dyDescent="0.3">
      <c r="AG875" s="84"/>
    </row>
    <row r="876" spans="33:33" x14ac:dyDescent="0.3">
      <c r="AG876" s="84"/>
    </row>
    <row r="877" spans="33:33" x14ac:dyDescent="0.3">
      <c r="AG877" s="84"/>
    </row>
    <row r="878" spans="33:33" x14ac:dyDescent="0.3">
      <c r="AG878" s="84"/>
    </row>
    <row r="879" spans="33:33" x14ac:dyDescent="0.3">
      <c r="AG879" s="84"/>
    </row>
    <row r="880" spans="33:33" x14ac:dyDescent="0.3">
      <c r="AG880" s="84"/>
    </row>
    <row r="881" spans="33:33" x14ac:dyDescent="0.3">
      <c r="AG881" s="84"/>
    </row>
    <row r="882" spans="33:33" x14ac:dyDescent="0.3">
      <c r="AG882" s="84"/>
    </row>
    <row r="883" spans="33:33" x14ac:dyDescent="0.3">
      <c r="AG883" s="84"/>
    </row>
    <row r="884" spans="33:33" x14ac:dyDescent="0.3">
      <c r="AG884" s="84"/>
    </row>
    <row r="885" spans="33:33" x14ac:dyDescent="0.3">
      <c r="AG885" s="84"/>
    </row>
    <row r="886" spans="33:33" x14ac:dyDescent="0.3">
      <c r="AG886" s="84"/>
    </row>
    <row r="887" spans="33:33" x14ac:dyDescent="0.3">
      <c r="AG887" s="84"/>
    </row>
    <row r="888" spans="33:33" x14ac:dyDescent="0.3">
      <c r="AG888" s="84"/>
    </row>
    <row r="889" spans="33:33" x14ac:dyDescent="0.3">
      <c r="AG889" s="84"/>
    </row>
    <row r="890" spans="33:33" x14ac:dyDescent="0.3">
      <c r="AG890" s="84"/>
    </row>
    <row r="891" spans="33:33" x14ac:dyDescent="0.3">
      <c r="AG891" s="84"/>
    </row>
    <row r="892" spans="33:33" x14ac:dyDescent="0.3">
      <c r="AG892" s="84"/>
    </row>
    <row r="893" spans="33:33" x14ac:dyDescent="0.3">
      <c r="AG893" s="84"/>
    </row>
    <row r="894" spans="33:33" x14ac:dyDescent="0.3">
      <c r="AG894" s="84"/>
    </row>
    <row r="895" spans="33:33" x14ac:dyDescent="0.3">
      <c r="AG895" s="84"/>
    </row>
    <row r="896" spans="33:33" x14ac:dyDescent="0.3">
      <c r="AG896" s="84"/>
    </row>
    <row r="897" spans="33:33" x14ac:dyDescent="0.3">
      <c r="AG897" s="84"/>
    </row>
    <row r="898" spans="33:33" x14ac:dyDescent="0.3">
      <c r="AG898" s="84"/>
    </row>
    <row r="899" spans="33:33" x14ac:dyDescent="0.3">
      <c r="AG899" s="84"/>
    </row>
    <row r="900" spans="33:33" x14ac:dyDescent="0.3">
      <c r="AG900" s="84"/>
    </row>
    <row r="901" spans="33:33" x14ac:dyDescent="0.3">
      <c r="AG901" s="84"/>
    </row>
    <row r="902" spans="33:33" x14ac:dyDescent="0.3">
      <c r="AG902" s="84"/>
    </row>
    <row r="903" spans="33:33" x14ac:dyDescent="0.3">
      <c r="AG903" s="84"/>
    </row>
    <row r="904" spans="33:33" x14ac:dyDescent="0.3">
      <c r="AG904" s="84"/>
    </row>
    <row r="905" spans="33:33" x14ac:dyDescent="0.3">
      <c r="AG905" s="84"/>
    </row>
    <row r="906" spans="33:33" x14ac:dyDescent="0.3">
      <c r="AG906" s="84"/>
    </row>
    <row r="907" spans="33:33" x14ac:dyDescent="0.3">
      <c r="AG907" s="84"/>
    </row>
    <row r="908" spans="33:33" x14ac:dyDescent="0.3">
      <c r="AG908" s="84"/>
    </row>
    <row r="909" spans="33:33" x14ac:dyDescent="0.3">
      <c r="AG909" s="84"/>
    </row>
    <row r="910" spans="33:33" x14ac:dyDescent="0.3">
      <c r="AG910" s="84"/>
    </row>
    <row r="911" spans="33:33" x14ac:dyDescent="0.3">
      <c r="AG911" s="84"/>
    </row>
    <row r="912" spans="33:33" x14ac:dyDescent="0.3">
      <c r="AG912" s="84"/>
    </row>
    <row r="913" spans="33:33" x14ac:dyDescent="0.3">
      <c r="AG913" s="84"/>
    </row>
    <row r="914" spans="33:33" x14ac:dyDescent="0.3">
      <c r="AG914" s="84"/>
    </row>
    <row r="915" spans="33:33" x14ac:dyDescent="0.3">
      <c r="AG915" s="84"/>
    </row>
    <row r="916" spans="33:33" x14ac:dyDescent="0.3">
      <c r="AG916" s="84"/>
    </row>
    <row r="917" spans="33:33" x14ac:dyDescent="0.3">
      <c r="AG917" s="84"/>
    </row>
    <row r="918" spans="33:33" x14ac:dyDescent="0.3">
      <c r="AG918" s="84"/>
    </row>
    <row r="919" spans="33:33" x14ac:dyDescent="0.3">
      <c r="AG919" s="84"/>
    </row>
    <row r="920" spans="33:33" x14ac:dyDescent="0.3">
      <c r="AG920" s="84"/>
    </row>
    <row r="921" spans="33:33" x14ac:dyDescent="0.3">
      <c r="AG921" s="84"/>
    </row>
    <row r="922" spans="33:33" x14ac:dyDescent="0.3">
      <c r="AG922" s="84"/>
    </row>
    <row r="923" spans="33:33" x14ac:dyDescent="0.3">
      <c r="AG923" s="84"/>
    </row>
    <row r="924" spans="33:33" x14ac:dyDescent="0.3">
      <c r="AG924" s="84"/>
    </row>
    <row r="925" spans="33:33" x14ac:dyDescent="0.3">
      <c r="AG925" s="84"/>
    </row>
    <row r="926" spans="33:33" x14ac:dyDescent="0.3">
      <c r="AG926" s="84"/>
    </row>
    <row r="927" spans="33:33" x14ac:dyDescent="0.3">
      <c r="AG927" s="84"/>
    </row>
    <row r="928" spans="33:33" x14ac:dyDescent="0.3">
      <c r="AG928" s="84"/>
    </row>
    <row r="929" spans="33:33" x14ac:dyDescent="0.3">
      <c r="AG929" s="84"/>
    </row>
    <row r="930" spans="33:33" x14ac:dyDescent="0.3">
      <c r="AG930" s="84"/>
    </row>
    <row r="931" spans="33:33" x14ac:dyDescent="0.3">
      <c r="AG931" s="84"/>
    </row>
    <row r="932" spans="33:33" x14ac:dyDescent="0.3">
      <c r="AG932" s="84"/>
    </row>
    <row r="933" spans="33:33" x14ac:dyDescent="0.3">
      <c r="AG933" s="84"/>
    </row>
    <row r="934" spans="33:33" x14ac:dyDescent="0.3">
      <c r="AG934" s="84"/>
    </row>
    <row r="935" spans="33:33" x14ac:dyDescent="0.3">
      <c r="AG935" s="84"/>
    </row>
    <row r="936" spans="33:33" x14ac:dyDescent="0.3">
      <c r="AG936" s="84"/>
    </row>
    <row r="937" spans="33:33" x14ac:dyDescent="0.3">
      <c r="AG937" s="84"/>
    </row>
    <row r="938" spans="33:33" x14ac:dyDescent="0.3">
      <c r="AG938" s="84"/>
    </row>
    <row r="939" spans="33:33" x14ac:dyDescent="0.3">
      <c r="AG939" s="84"/>
    </row>
    <row r="940" spans="33:33" x14ac:dyDescent="0.3">
      <c r="AG940" s="84"/>
    </row>
    <row r="941" spans="33:33" x14ac:dyDescent="0.3">
      <c r="AG941" s="84"/>
    </row>
    <row r="942" spans="33:33" x14ac:dyDescent="0.3">
      <c r="AG942" s="84"/>
    </row>
    <row r="943" spans="33:33" x14ac:dyDescent="0.3">
      <c r="AG943" s="84"/>
    </row>
    <row r="944" spans="33:33" x14ac:dyDescent="0.3">
      <c r="AG944" s="84"/>
    </row>
    <row r="945" spans="33:33" x14ac:dyDescent="0.3">
      <c r="AG945" s="84"/>
    </row>
    <row r="946" spans="33:33" x14ac:dyDescent="0.3">
      <c r="AG946" s="84"/>
    </row>
    <row r="947" spans="33:33" x14ac:dyDescent="0.3">
      <c r="AG947" s="84"/>
    </row>
    <row r="948" spans="33:33" x14ac:dyDescent="0.3">
      <c r="AG948" s="84"/>
    </row>
    <row r="949" spans="33:33" x14ac:dyDescent="0.3">
      <c r="AG949" s="84"/>
    </row>
    <row r="950" spans="33:33" x14ac:dyDescent="0.3">
      <c r="AG950" s="84"/>
    </row>
    <row r="951" spans="33:33" x14ac:dyDescent="0.3">
      <c r="AG951" s="84"/>
    </row>
    <row r="952" spans="33:33" x14ac:dyDescent="0.3">
      <c r="AG952" s="84"/>
    </row>
    <row r="953" spans="33:33" x14ac:dyDescent="0.3">
      <c r="AG953" s="84"/>
    </row>
    <row r="954" spans="33:33" x14ac:dyDescent="0.3">
      <c r="AG954" s="84"/>
    </row>
    <row r="955" spans="33:33" x14ac:dyDescent="0.3">
      <c r="AG955" s="84"/>
    </row>
    <row r="956" spans="33:33" x14ac:dyDescent="0.3">
      <c r="AG956" s="84"/>
    </row>
    <row r="957" spans="33:33" x14ac:dyDescent="0.3">
      <c r="AG957" s="84"/>
    </row>
    <row r="958" spans="33:33" x14ac:dyDescent="0.3">
      <c r="AG958" s="84"/>
    </row>
    <row r="959" spans="33:33" x14ac:dyDescent="0.3">
      <c r="AG959" s="84"/>
    </row>
    <row r="960" spans="33:33" x14ac:dyDescent="0.3">
      <c r="AG960" s="84"/>
    </row>
    <row r="961" spans="33:33" x14ac:dyDescent="0.3">
      <c r="AG961" s="84"/>
    </row>
    <row r="962" spans="33:33" x14ac:dyDescent="0.3">
      <c r="AG962" s="84"/>
    </row>
    <row r="963" spans="33:33" x14ac:dyDescent="0.3">
      <c r="AG963" s="84"/>
    </row>
    <row r="964" spans="33:33" x14ac:dyDescent="0.3">
      <c r="AG964" s="84"/>
    </row>
    <row r="965" spans="33:33" x14ac:dyDescent="0.3">
      <c r="AG965" s="84"/>
    </row>
    <row r="966" spans="33:33" x14ac:dyDescent="0.3">
      <c r="AG966" s="84"/>
    </row>
    <row r="967" spans="33:33" x14ac:dyDescent="0.3">
      <c r="AG967" s="84"/>
    </row>
    <row r="968" spans="33:33" x14ac:dyDescent="0.3">
      <c r="AG968" s="84"/>
    </row>
    <row r="969" spans="33:33" x14ac:dyDescent="0.3">
      <c r="AG969" s="84"/>
    </row>
    <row r="970" spans="33:33" x14ac:dyDescent="0.3">
      <c r="AG970" s="84"/>
    </row>
    <row r="971" spans="33:33" x14ac:dyDescent="0.3">
      <c r="AG971" s="84"/>
    </row>
    <row r="972" spans="33:33" x14ac:dyDescent="0.3">
      <c r="AG972" s="84"/>
    </row>
    <row r="973" spans="33:33" x14ac:dyDescent="0.3">
      <c r="AG973" s="84"/>
    </row>
    <row r="974" spans="33:33" x14ac:dyDescent="0.3">
      <c r="AG974" s="84"/>
    </row>
    <row r="975" spans="33:33" x14ac:dyDescent="0.3">
      <c r="AG975" s="84"/>
    </row>
    <row r="976" spans="33:33" x14ac:dyDescent="0.3">
      <c r="AG976" s="84"/>
    </row>
    <row r="977" spans="33:33" x14ac:dyDescent="0.3">
      <c r="AG977" s="84"/>
    </row>
    <row r="978" spans="33:33" x14ac:dyDescent="0.3">
      <c r="AG978" s="84"/>
    </row>
    <row r="979" spans="33:33" x14ac:dyDescent="0.3">
      <c r="AG979" s="84"/>
    </row>
    <row r="980" spans="33:33" x14ac:dyDescent="0.3">
      <c r="AG980" s="84"/>
    </row>
    <row r="981" spans="33:33" x14ac:dyDescent="0.3">
      <c r="AG981" s="84"/>
    </row>
    <row r="982" spans="33:33" x14ac:dyDescent="0.3">
      <c r="AG982" s="84"/>
    </row>
    <row r="983" spans="33:33" x14ac:dyDescent="0.3">
      <c r="AG983" s="84"/>
    </row>
    <row r="984" spans="33:33" x14ac:dyDescent="0.3">
      <c r="AG984" s="84"/>
    </row>
    <row r="985" spans="33:33" x14ac:dyDescent="0.3">
      <c r="AG985" s="84"/>
    </row>
    <row r="986" spans="33:33" x14ac:dyDescent="0.3">
      <c r="AG986" s="84"/>
    </row>
    <row r="987" spans="33:33" x14ac:dyDescent="0.3">
      <c r="AG987" s="84"/>
    </row>
    <row r="988" spans="33:33" x14ac:dyDescent="0.3">
      <c r="AG988" s="84"/>
    </row>
    <row r="989" spans="33:33" x14ac:dyDescent="0.3">
      <c r="AG989" s="84"/>
    </row>
    <row r="990" spans="33:33" x14ac:dyDescent="0.3">
      <c r="AG990" s="84"/>
    </row>
    <row r="991" spans="33:33" x14ac:dyDescent="0.3">
      <c r="AG991" s="84"/>
    </row>
    <row r="992" spans="33:33" x14ac:dyDescent="0.3">
      <c r="AG992" s="84"/>
    </row>
    <row r="993" spans="33:33" x14ac:dyDescent="0.3">
      <c r="AG993" s="84"/>
    </row>
    <row r="994" spans="33:33" x14ac:dyDescent="0.3">
      <c r="AG994" s="84"/>
    </row>
    <row r="995" spans="33:33" x14ac:dyDescent="0.3">
      <c r="AG995" s="84"/>
    </row>
    <row r="996" spans="33:33" x14ac:dyDescent="0.3">
      <c r="AG996" s="84"/>
    </row>
    <row r="997" spans="33:33" x14ac:dyDescent="0.3">
      <c r="AG997" s="84"/>
    </row>
    <row r="998" spans="33:33" x14ac:dyDescent="0.3">
      <c r="AG998" s="84"/>
    </row>
    <row r="999" spans="33:33" x14ac:dyDescent="0.3">
      <c r="AG999" s="84"/>
    </row>
    <row r="1000" spans="33:33" x14ac:dyDescent="0.3">
      <c r="AG1000" s="84"/>
    </row>
    <row r="1001" spans="33:33" x14ac:dyDescent="0.3">
      <c r="AG1001" s="84"/>
    </row>
    <row r="1002" spans="33:33" x14ac:dyDescent="0.3">
      <c r="AG1002" s="84"/>
    </row>
    <row r="1003" spans="33:33" x14ac:dyDescent="0.3">
      <c r="AG1003" s="84"/>
    </row>
    <row r="1004" spans="33:33" x14ac:dyDescent="0.3">
      <c r="AG1004" s="84"/>
    </row>
    <row r="1005" spans="33:33" x14ac:dyDescent="0.3">
      <c r="AG1005" s="84"/>
    </row>
    <row r="1006" spans="33:33" x14ac:dyDescent="0.3">
      <c r="AG1006" s="84"/>
    </row>
    <row r="1007" spans="33:33" x14ac:dyDescent="0.3">
      <c r="AG1007" s="84"/>
    </row>
    <row r="1008" spans="33:33" x14ac:dyDescent="0.3">
      <c r="AG1008" s="84"/>
    </row>
    <row r="1009" spans="33:33" x14ac:dyDescent="0.3">
      <c r="AG1009" s="84"/>
    </row>
    <row r="1010" spans="33:33" x14ac:dyDescent="0.3">
      <c r="AG1010" s="84"/>
    </row>
    <row r="1011" spans="33:33" x14ac:dyDescent="0.3">
      <c r="AG1011" s="84"/>
    </row>
    <row r="1012" spans="33:33" x14ac:dyDescent="0.3">
      <c r="AG1012" s="84"/>
    </row>
    <row r="1013" spans="33:33" x14ac:dyDescent="0.3">
      <c r="AG1013" s="84"/>
    </row>
    <row r="1014" spans="33:33" x14ac:dyDescent="0.3">
      <c r="AG1014" s="84"/>
    </row>
    <row r="1015" spans="33:33" x14ac:dyDescent="0.3">
      <c r="AG1015" s="84"/>
    </row>
    <row r="1016" spans="33:33" x14ac:dyDescent="0.3">
      <c r="AG1016" s="84"/>
    </row>
    <row r="1017" spans="33:33" x14ac:dyDescent="0.3">
      <c r="AG1017" s="84"/>
    </row>
    <row r="1018" spans="33:33" x14ac:dyDescent="0.3">
      <c r="AG1018" s="84"/>
    </row>
    <row r="1019" spans="33:33" x14ac:dyDescent="0.3">
      <c r="AG1019" s="84"/>
    </row>
    <row r="1020" spans="33:33" x14ac:dyDescent="0.3">
      <c r="AG1020" s="84"/>
    </row>
    <row r="1021" spans="33:33" x14ac:dyDescent="0.3">
      <c r="AG1021" s="84"/>
    </row>
    <row r="1022" spans="33:33" x14ac:dyDescent="0.3">
      <c r="AG1022" s="84"/>
    </row>
    <row r="1023" spans="33:33" x14ac:dyDescent="0.3">
      <c r="AG1023" s="84"/>
    </row>
    <row r="1024" spans="33:33" x14ac:dyDescent="0.3">
      <c r="AG1024" s="84"/>
    </row>
    <row r="1025" spans="33:33" x14ac:dyDescent="0.3">
      <c r="AG1025" s="84"/>
    </row>
    <row r="1026" spans="33:33" x14ac:dyDescent="0.3">
      <c r="AG1026" s="84"/>
    </row>
    <row r="1027" spans="33:33" x14ac:dyDescent="0.3">
      <c r="AG1027" s="84"/>
    </row>
    <row r="1028" spans="33:33" x14ac:dyDescent="0.3">
      <c r="AG1028" s="84"/>
    </row>
    <row r="1029" spans="33:33" x14ac:dyDescent="0.3">
      <c r="AG1029" s="84"/>
    </row>
    <row r="1030" spans="33:33" x14ac:dyDescent="0.3">
      <c r="AG1030" s="84"/>
    </row>
    <row r="1031" spans="33:33" x14ac:dyDescent="0.3">
      <c r="AG1031" s="84"/>
    </row>
    <row r="1032" spans="33:33" x14ac:dyDescent="0.3">
      <c r="AG1032" s="84"/>
    </row>
    <row r="1033" spans="33:33" x14ac:dyDescent="0.3">
      <c r="AG1033" s="84"/>
    </row>
    <row r="1034" spans="33:33" x14ac:dyDescent="0.3">
      <c r="AG1034" s="84"/>
    </row>
    <row r="1035" spans="33:33" x14ac:dyDescent="0.3">
      <c r="AG1035" s="84"/>
    </row>
    <row r="1036" spans="33:33" x14ac:dyDescent="0.3">
      <c r="AG1036" s="84"/>
    </row>
    <row r="1037" spans="33:33" x14ac:dyDescent="0.3">
      <c r="AG1037" s="84"/>
    </row>
    <row r="1038" spans="33:33" x14ac:dyDescent="0.3">
      <c r="AG1038" s="84"/>
    </row>
    <row r="1039" spans="33:33" x14ac:dyDescent="0.3">
      <c r="AG1039" s="84"/>
    </row>
    <row r="1040" spans="33:33" x14ac:dyDescent="0.3">
      <c r="AG1040" s="84"/>
    </row>
    <row r="1041" spans="33:33" x14ac:dyDescent="0.3">
      <c r="AG1041" s="84"/>
    </row>
    <row r="1042" spans="33:33" x14ac:dyDescent="0.3">
      <c r="AG1042" s="84"/>
    </row>
    <row r="1043" spans="33:33" x14ac:dyDescent="0.3">
      <c r="AG1043" s="84"/>
    </row>
    <row r="1044" spans="33:33" x14ac:dyDescent="0.3">
      <c r="AG1044" s="84"/>
    </row>
    <row r="1045" spans="33:33" x14ac:dyDescent="0.3">
      <c r="AG1045" s="84"/>
    </row>
    <row r="1046" spans="33:33" x14ac:dyDescent="0.3">
      <c r="AG1046" s="84"/>
    </row>
    <row r="1047" spans="33:33" x14ac:dyDescent="0.3">
      <c r="AG1047" s="84"/>
    </row>
    <row r="1048" spans="33:33" x14ac:dyDescent="0.3">
      <c r="AG1048" s="84"/>
    </row>
    <row r="1049" spans="33:33" x14ac:dyDescent="0.3">
      <c r="AG1049" s="84"/>
    </row>
    <row r="1050" spans="33:33" x14ac:dyDescent="0.3">
      <c r="AG1050" s="84"/>
    </row>
    <row r="1051" spans="33:33" x14ac:dyDescent="0.3">
      <c r="AG1051" s="84"/>
    </row>
    <row r="1052" spans="33:33" x14ac:dyDescent="0.3">
      <c r="AG1052" s="84"/>
    </row>
    <row r="1053" spans="33:33" x14ac:dyDescent="0.3">
      <c r="AG1053" s="84"/>
    </row>
    <row r="1054" spans="33:33" x14ac:dyDescent="0.3">
      <c r="AG1054" s="84"/>
    </row>
    <row r="1055" spans="33:33" x14ac:dyDescent="0.3">
      <c r="AG1055" s="84"/>
    </row>
    <row r="1056" spans="33:33" x14ac:dyDescent="0.3">
      <c r="AG1056" s="84"/>
    </row>
    <row r="1057" spans="33:33" x14ac:dyDescent="0.3">
      <c r="AG1057" s="84"/>
    </row>
    <row r="1058" spans="33:33" x14ac:dyDescent="0.3">
      <c r="AG1058" s="84"/>
    </row>
    <row r="1059" spans="33:33" x14ac:dyDescent="0.3">
      <c r="AG1059" s="84"/>
    </row>
    <row r="1060" spans="33:33" x14ac:dyDescent="0.3">
      <c r="AG1060" s="84"/>
    </row>
    <row r="1061" spans="33:33" x14ac:dyDescent="0.3">
      <c r="AG1061" s="84"/>
    </row>
    <row r="1062" spans="33:33" x14ac:dyDescent="0.3">
      <c r="AG1062" s="84"/>
    </row>
    <row r="1063" spans="33:33" x14ac:dyDescent="0.3">
      <c r="AG1063" s="84"/>
    </row>
    <row r="1064" spans="33:33" x14ac:dyDescent="0.3">
      <c r="AG1064" s="84"/>
    </row>
    <row r="1065" spans="33:33" x14ac:dyDescent="0.3">
      <c r="AG1065" s="84"/>
    </row>
    <row r="1066" spans="33:33" x14ac:dyDescent="0.3">
      <c r="AG1066" s="84"/>
    </row>
    <row r="1067" spans="33:33" x14ac:dyDescent="0.3">
      <c r="AG1067" s="84"/>
    </row>
    <row r="1068" spans="33:33" x14ac:dyDescent="0.3">
      <c r="AG1068" s="84"/>
    </row>
    <row r="1069" spans="33:33" x14ac:dyDescent="0.3">
      <c r="AG1069" s="84"/>
    </row>
    <row r="1070" spans="33:33" x14ac:dyDescent="0.3">
      <c r="AG1070" s="84"/>
    </row>
    <row r="1071" spans="33:33" x14ac:dyDescent="0.3">
      <c r="AG1071" s="84"/>
    </row>
    <row r="1072" spans="33:33" x14ac:dyDescent="0.3">
      <c r="AG1072" s="84"/>
    </row>
    <row r="1073" spans="33:33" x14ac:dyDescent="0.3">
      <c r="AG1073" s="84"/>
    </row>
    <row r="1074" spans="33:33" x14ac:dyDescent="0.3">
      <c r="AG1074" s="84"/>
    </row>
    <row r="1075" spans="33:33" x14ac:dyDescent="0.3">
      <c r="AG1075" s="84"/>
    </row>
    <row r="1076" spans="33:33" x14ac:dyDescent="0.3">
      <c r="AG1076" s="84"/>
    </row>
    <row r="1077" spans="33:33" x14ac:dyDescent="0.3">
      <c r="AG1077" s="84"/>
    </row>
    <row r="1078" spans="33:33" x14ac:dyDescent="0.3">
      <c r="AG1078" s="84"/>
    </row>
    <row r="1079" spans="33:33" x14ac:dyDescent="0.3">
      <c r="AG1079" s="84"/>
    </row>
    <row r="1080" spans="33:33" x14ac:dyDescent="0.3">
      <c r="AG1080" s="84"/>
    </row>
    <row r="1081" spans="33:33" x14ac:dyDescent="0.3">
      <c r="AG1081" s="84"/>
    </row>
    <row r="1082" spans="33:33" x14ac:dyDescent="0.3">
      <c r="AG1082" s="84"/>
    </row>
    <row r="1083" spans="33:33" x14ac:dyDescent="0.3">
      <c r="AG1083" s="84"/>
    </row>
    <row r="1084" spans="33:33" x14ac:dyDescent="0.3">
      <c r="AG1084" s="84"/>
    </row>
    <row r="1085" spans="33:33" x14ac:dyDescent="0.3">
      <c r="AG1085" s="84"/>
    </row>
    <row r="1086" spans="33:33" x14ac:dyDescent="0.3">
      <c r="AG1086" s="84"/>
    </row>
    <row r="1087" spans="33:33" x14ac:dyDescent="0.3">
      <c r="AG1087" s="84"/>
    </row>
    <row r="1088" spans="33:33" x14ac:dyDescent="0.3">
      <c r="AG1088" s="84"/>
    </row>
    <row r="1089" spans="33:33" x14ac:dyDescent="0.3">
      <c r="AG1089" s="84"/>
    </row>
    <row r="1090" spans="33:33" x14ac:dyDescent="0.3">
      <c r="AG1090" s="84"/>
    </row>
    <row r="1091" spans="33:33" x14ac:dyDescent="0.3">
      <c r="AG1091" s="84"/>
    </row>
    <row r="1092" spans="33:33" x14ac:dyDescent="0.3">
      <c r="AG1092" s="84"/>
    </row>
    <row r="1093" spans="33:33" x14ac:dyDescent="0.3">
      <c r="AG1093" s="84"/>
    </row>
    <row r="1094" spans="33:33" x14ac:dyDescent="0.3">
      <c r="AG1094" s="84"/>
    </row>
    <row r="1095" spans="33:33" x14ac:dyDescent="0.3">
      <c r="AG1095" s="84"/>
    </row>
    <row r="1096" spans="33:33" x14ac:dyDescent="0.3">
      <c r="AG1096" s="84"/>
    </row>
    <row r="1097" spans="33:33" x14ac:dyDescent="0.3">
      <c r="AG1097" s="84"/>
    </row>
    <row r="1098" spans="33:33" x14ac:dyDescent="0.3">
      <c r="AG1098" s="84"/>
    </row>
    <row r="1099" spans="33:33" x14ac:dyDescent="0.3">
      <c r="AG1099" s="84"/>
    </row>
    <row r="1100" spans="33:33" x14ac:dyDescent="0.3">
      <c r="AG1100" s="84"/>
    </row>
    <row r="1101" spans="33:33" x14ac:dyDescent="0.3">
      <c r="AG1101" s="84"/>
    </row>
    <row r="1102" spans="33:33" x14ac:dyDescent="0.3">
      <c r="AG1102" s="84"/>
    </row>
    <row r="1103" spans="33:33" x14ac:dyDescent="0.3">
      <c r="AG1103" s="84"/>
    </row>
    <row r="1104" spans="33:33" x14ac:dyDescent="0.3">
      <c r="AG1104" s="84"/>
    </row>
    <row r="1105" spans="33:33" x14ac:dyDescent="0.3">
      <c r="AG1105" s="84"/>
    </row>
  </sheetData>
  <mergeCells count="88">
    <mergeCell ref="B71:E71"/>
    <mergeCell ref="B72:E72"/>
    <mergeCell ref="B73:E73"/>
    <mergeCell ref="B66:E66"/>
    <mergeCell ref="B67:E67"/>
    <mergeCell ref="B68:E68"/>
    <mergeCell ref="B69:E69"/>
    <mergeCell ref="B70:E70"/>
    <mergeCell ref="B61:E61"/>
    <mergeCell ref="B62:E62"/>
    <mergeCell ref="B63:E63"/>
    <mergeCell ref="B64:E64"/>
    <mergeCell ref="B65:E65"/>
    <mergeCell ref="B56:E56"/>
    <mergeCell ref="B57:E57"/>
    <mergeCell ref="B58:E58"/>
    <mergeCell ref="B59:E59"/>
    <mergeCell ref="B60:E60"/>
    <mergeCell ref="B1:I1"/>
    <mergeCell ref="S3:W3"/>
    <mergeCell ref="A4:E5"/>
    <mergeCell ref="P4:P5"/>
    <mergeCell ref="Q4:Q5"/>
    <mergeCell ref="R4:R5"/>
    <mergeCell ref="S4:S5"/>
    <mergeCell ref="T4:T5"/>
    <mergeCell ref="V4:V5"/>
    <mergeCell ref="W4:W5"/>
    <mergeCell ref="AF4:AF5"/>
    <mergeCell ref="AG4:AG5"/>
    <mergeCell ref="AH4:AH5"/>
    <mergeCell ref="AK4:AK5"/>
    <mergeCell ref="A6:E6"/>
    <mergeCell ref="X4:X5"/>
    <mergeCell ref="Y4:Y5"/>
    <mergeCell ref="Z4:Z5"/>
    <mergeCell ref="AA4:AA5"/>
    <mergeCell ref="AB4:AB5"/>
    <mergeCell ref="AC4:AC5"/>
    <mergeCell ref="B21:E21"/>
    <mergeCell ref="B7:E7"/>
    <mergeCell ref="B8:E8"/>
    <mergeCell ref="B9:E9"/>
    <mergeCell ref="B10:E10"/>
    <mergeCell ref="B11:E11"/>
    <mergeCell ref="B12:E12"/>
    <mergeCell ref="B13:E13"/>
    <mergeCell ref="B14:E14"/>
    <mergeCell ref="B15:E15"/>
    <mergeCell ref="B16:E16"/>
    <mergeCell ref="B17:E17"/>
    <mergeCell ref="B18:E18"/>
    <mergeCell ref="B19:E19"/>
    <mergeCell ref="B20:E20"/>
    <mergeCell ref="B33:E33"/>
    <mergeCell ref="B22:E22"/>
    <mergeCell ref="B23:E23"/>
    <mergeCell ref="B24:E24"/>
    <mergeCell ref="B25:E25"/>
    <mergeCell ref="B26:E26"/>
    <mergeCell ref="B27:E27"/>
    <mergeCell ref="B28:E28"/>
    <mergeCell ref="B29:E29"/>
    <mergeCell ref="B30:E30"/>
    <mergeCell ref="B31:E31"/>
    <mergeCell ref="B32:E32"/>
    <mergeCell ref="B45:E45"/>
    <mergeCell ref="B34:E34"/>
    <mergeCell ref="B35:E35"/>
    <mergeCell ref="B36:E36"/>
    <mergeCell ref="B37:E37"/>
    <mergeCell ref="B38:E38"/>
    <mergeCell ref="B39:E39"/>
    <mergeCell ref="B40:E40"/>
    <mergeCell ref="B41:E41"/>
    <mergeCell ref="B42:E42"/>
    <mergeCell ref="B43:E43"/>
    <mergeCell ref="B44:E44"/>
    <mergeCell ref="B52:E52"/>
    <mergeCell ref="B53:E53"/>
    <mergeCell ref="B54:E54"/>
    <mergeCell ref="B55:E55"/>
    <mergeCell ref="B46:E46"/>
    <mergeCell ref="B47:E47"/>
    <mergeCell ref="B48:E48"/>
    <mergeCell ref="B49:E49"/>
    <mergeCell ref="B50:E50"/>
    <mergeCell ref="B51:E51"/>
  </mergeCells>
  <pageMargins left="0.69930555555555596" right="0.69930555555555596" top="0.75" bottom="0.75" header="0.3" footer="0.3"/>
  <pageSetup paperSize="10000" scale="38" orientation="landscape" r:id="rId1"/>
  <rowBreaks count="1" manualBreakCount="1">
    <brk id="51" max="85" man="1"/>
  </rowBreaks>
  <colBreaks count="1" manualBreakCount="1">
    <brk id="37" min="3" max="343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6</vt:i4>
      </vt:variant>
    </vt:vector>
  </HeadingPairs>
  <TitlesOfParts>
    <vt:vector size="12" baseType="lpstr">
      <vt:lpstr>REG_MEM_CAP</vt:lpstr>
      <vt:lpstr>REG_MEM_NONCAP</vt:lpstr>
      <vt:lpstr>RET</vt:lpstr>
      <vt:lpstr>REG_MEM_LGU</vt:lpstr>
      <vt:lpstr>COM_A</vt:lpstr>
      <vt:lpstr>COM_B</vt:lpstr>
      <vt:lpstr>COM_A!Print_Area</vt:lpstr>
      <vt:lpstr>COM_B!Print_Area</vt:lpstr>
      <vt:lpstr>REG_MEM_CAP!Print_Area</vt:lpstr>
      <vt:lpstr>REG_MEM_LGU!Print_Area</vt:lpstr>
      <vt:lpstr>REG_MEM_NONCAP!Print_Area</vt:lpstr>
      <vt:lpstr>RET!Print_Area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</dc:creator>
  <cp:lastModifiedBy>Angel</cp:lastModifiedBy>
  <dcterms:created xsi:type="dcterms:W3CDTF">2026-07-21T12:03:02Z</dcterms:created>
  <dcterms:modified xsi:type="dcterms:W3CDTF">2026-07-21T13:10:12Z</dcterms:modified>
</cp:coreProperties>
</file>